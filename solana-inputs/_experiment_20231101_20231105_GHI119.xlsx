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mpo\SolarDynamics-code\HelioSoil-FS\solana-inputs\"/>
    </mc:Choice>
  </mc:AlternateContent>
  <xr:revisionPtr revIDLastSave="0" documentId="13_ncr:1_{39EC8D2C-411D-4226-88D3-513721D7A3D6}" xr6:coauthVersionLast="47" xr6:coauthVersionMax="47" xr10:uidLastSave="{00000000-0000-0000-0000-000000000000}"/>
  <bookViews>
    <workbookView xWindow="28680" yWindow="-120" windowWidth="29040" windowHeight="15720" firstSheet="1" activeTab="5" xr2:uid="{00000000-000D-0000-FFFF-FFFF00000000}"/>
  </bookViews>
  <sheets>
    <sheet name="Dust" sheetId="6" r:id="rId1"/>
    <sheet name="Source_Intensity" sheetId="7" r:id="rId2"/>
    <sheet name="Weather" sheetId="2" r:id="rId3"/>
    <sheet name="Tilts" sheetId="3" r:id="rId4"/>
    <sheet name="Reflectance_Average" sheetId="4" r:id="rId5"/>
    <sheet name="Reflectance_Sigm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D2" i="5"/>
  <c r="C3" i="5"/>
  <c r="D3" i="5"/>
  <c r="B3" i="5"/>
  <c r="B2" i="5"/>
  <c r="E3" i="7" l="1"/>
  <c r="B5" i="7" s="1"/>
  <c r="B100" i="7" l="1"/>
  <c r="B68" i="7"/>
  <c r="B12" i="7"/>
  <c r="B115" i="7"/>
  <c r="B99" i="7"/>
  <c r="B91" i="7"/>
  <c r="B67" i="7"/>
  <c r="B59" i="7"/>
  <c r="B51" i="7"/>
  <c r="B43" i="7"/>
  <c r="B35" i="7"/>
  <c r="B27" i="7"/>
  <c r="B3" i="7"/>
  <c r="B106" i="7"/>
  <c r="B74" i="7"/>
  <c r="B26" i="7"/>
  <c r="B121" i="7"/>
  <c r="B113" i="7"/>
  <c r="B105" i="7"/>
  <c r="B97" i="7"/>
  <c r="B89" i="7"/>
  <c r="B81" i="7"/>
  <c r="B73" i="7"/>
  <c r="B65" i="7"/>
  <c r="B57" i="7"/>
  <c r="B49" i="7"/>
  <c r="B41" i="7"/>
  <c r="B33" i="7"/>
  <c r="B25" i="7"/>
  <c r="B17" i="7"/>
  <c r="B9" i="7"/>
  <c r="B120" i="7"/>
  <c r="B112" i="7"/>
  <c r="B104" i="7"/>
  <c r="B96" i="7"/>
  <c r="B88" i="7"/>
  <c r="B80" i="7"/>
  <c r="B72" i="7"/>
  <c r="B64" i="7"/>
  <c r="B56" i="7"/>
  <c r="B48" i="7"/>
  <c r="B40" i="7"/>
  <c r="B32" i="7"/>
  <c r="B24" i="7"/>
  <c r="B16" i="7"/>
  <c r="B8" i="7"/>
  <c r="B116" i="7"/>
  <c r="B92" i="7"/>
  <c r="B76" i="7"/>
  <c r="B52" i="7"/>
  <c r="B4" i="7"/>
  <c r="B107" i="7"/>
  <c r="B75" i="7"/>
  <c r="B19" i="7"/>
  <c r="B114" i="7"/>
  <c r="B90" i="7"/>
  <c r="B66" i="7"/>
  <c r="B50" i="7"/>
  <c r="B42" i="7"/>
  <c r="B34" i="7"/>
  <c r="B10" i="7"/>
  <c r="B103" i="7"/>
  <c r="B79" i="7"/>
  <c r="B63" i="7"/>
  <c r="B47" i="7"/>
  <c r="B31" i="7"/>
  <c r="B23" i="7"/>
  <c r="B7" i="7"/>
  <c r="B118" i="7"/>
  <c r="B110" i="7"/>
  <c r="B102" i="7"/>
  <c r="B94" i="7"/>
  <c r="B86" i="7"/>
  <c r="B78" i="7"/>
  <c r="B70" i="7"/>
  <c r="B62" i="7"/>
  <c r="B54" i="7"/>
  <c r="B46" i="7"/>
  <c r="B38" i="7"/>
  <c r="B30" i="7"/>
  <c r="B22" i="7"/>
  <c r="B14" i="7"/>
  <c r="B6" i="7"/>
  <c r="B108" i="7"/>
  <c r="B84" i="7"/>
  <c r="B60" i="7"/>
  <c r="B44" i="7"/>
  <c r="B36" i="7"/>
  <c r="B28" i="7"/>
  <c r="B20" i="7"/>
  <c r="B2" i="7"/>
  <c r="B83" i="7"/>
  <c r="B11" i="7"/>
  <c r="B122" i="7"/>
  <c r="B98" i="7"/>
  <c r="B82" i="7"/>
  <c r="B58" i="7"/>
  <c r="B18" i="7"/>
  <c r="B119" i="7"/>
  <c r="B111" i="7"/>
  <c r="B95" i="7"/>
  <c r="B87" i="7"/>
  <c r="B71" i="7"/>
  <c r="B55" i="7"/>
  <c r="B39" i="7"/>
  <c r="B15" i="7"/>
  <c r="B117" i="7"/>
  <c r="B109" i="7"/>
  <c r="B101" i="7"/>
  <c r="B93" i="7"/>
  <c r="B85" i="7"/>
  <c r="B77" i="7"/>
  <c r="B69" i="7"/>
  <c r="B61" i="7"/>
  <c r="B53" i="7"/>
  <c r="B45" i="7"/>
  <c r="B37" i="7"/>
  <c r="B29" i="7"/>
  <c r="B21" i="7"/>
  <c r="B13" i="7"/>
</calcChain>
</file>

<file path=xl/sharedStrings.xml><?xml version="1.0" encoding="utf-8"?>
<sst xmlns="http://schemas.openxmlformats.org/spreadsheetml/2006/main" count="55" uniqueCount="42">
  <si>
    <t>Time</t>
  </si>
  <si>
    <t>AirTemp</t>
  </si>
  <si>
    <t>WindSpeed</t>
  </si>
  <si>
    <t>Mirror_1</t>
  </si>
  <si>
    <t>Mirror_2</t>
  </si>
  <si>
    <t>Mirror_3</t>
  </si>
  <si>
    <t>Parameter</t>
  </si>
  <si>
    <t>Value</t>
  </si>
  <si>
    <t>Units</t>
  </si>
  <si>
    <t>Comment</t>
  </si>
  <si>
    <t>D</t>
  </si>
  <si>
    <t>µm</t>
  </si>
  <si>
    <t>minimum, maximum, number of bins (log spacing)</t>
  </si>
  <si>
    <t>N_size</t>
  </si>
  <si>
    <t>order of the size distribution (2=BINOMIAL, 3=trinomial)</t>
  </si>
  <si>
    <t>Nd</t>
  </si>
  <si>
    <t>mu</t>
  </si>
  <si>
    <t>sigma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</si>
  <si>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</si>
  <si>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</si>
  <si>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</si>
  <si>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</si>
  <si>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</si>
  <si>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</si>
  <si>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</si>
  <si>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ration of quartz (dust)</t>
  </si>
  <si>
    <t>youngs_modulus_dust</t>
  </si>
  <si>
    <t>N/m2</t>
  </si>
  <si>
    <t>Young's modulus of quartz (dust)</t>
  </si>
  <si>
    <t>refractive_index_real_part</t>
  </si>
  <si>
    <t>refractive_index_imaginary_part</t>
  </si>
  <si>
    <t>Real part of complex refractive index</t>
  </si>
  <si>
    <t>Imaginary part of complex refractive index</t>
  </si>
  <si>
    <t>Wavelength (nm)</t>
  </si>
  <si>
    <t>0.001;1000;100</t>
  </si>
  <si>
    <t>Source Intensity (W/m^2 nm)</t>
  </si>
  <si>
    <t>DNS Reflectometer Data from: https://www.devicesandservices.com/15R-RGB%20Spec%20Sheet.pdf</t>
  </si>
  <si>
    <t>PM10</t>
  </si>
  <si>
    <t>2999.9756004141914; 997.0197384329538; 0.8145256126239515</t>
  </si>
  <si>
    <t>1.52307419091438;2.44657447962067;1.2556617340672</t>
  </si>
  <si>
    <t>*parameters fit to dust data over exp duration</t>
  </si>
  <si>
    <t xml:space="preserve">0.0004717805043623872; 0.03534049888876333; 1.9531196501542158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</si>
</sst>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5"/>
  </cellStyleXfs>
  <cellXfs count="15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22" fontId="0" fillId="0" borderId="4" xfId="0" applyNumberFormat="1" applyBorder="1"/>
    <xf numFmtId="22" fontId="0" fillId="0" borderId="5" xfId="0" applyNumberFormat="1" applyBorder="1"/>
    <xf numFmtId="49" fontId="1" fillId="0" borderId="2" xfId="0" applyNumberFormat="1" applyFont="1" applyBorder="1"/>
    <xf numFmtId="0" fontId="2" fillId="0" borderId="5" xfId="1"/>
    <xf numFmtId="11" fontId="2" fillId="0" borderId="5" xfId="1" applyNumberFormat="1"/>
    <xf numFmtId="0" fontId="1" fillId="0" borderId="5" xfId="1" applyFont="1"/>
    <xf numFmtId="2" fontId="0" fillId="0" borderId="0" xfId="0" applyNumberFormat="1" applyAlignment="1">
      <alignment horizontal="center"/>
    </xf>
    <xf numFmtId="22" fontId="0" fillId="0" borderId="0" xfId="0" applyNumberFormat="1"/>
    <xf numFmtId="0" fontId="0" fillId="0" borderId="0" xfId="0" applyAlignment="1">
      <alignment horizontal="center"/>
    </xf>
    <xf numFmtId="0" fontId="1" fillId="0" borderId="5" xfId="1" applyFont="1" applyAlignment="1">
      <alignment horizontal="center" wrapText="1"/>
    </xf>
    <xf numFmtId="0" fontId="2" fillId="0" borderId="5" xfId="1" applyAlignment="1">
      <alignment horizontal="center" wrapText="1"/>
    </xf>
  </cellXfs>
  <cellStyles count="2">
    <cellStyle name="Normal" xfId="0" builtinId="0"/>
    <cellStyle name="Normal 2" xfId="1" xr:uid="{734FD0B3-E43E-4F7B-86AD-B9E8169AC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Source_Intensity!$B$1</c:f>
              <c:strCache>
                <c:ptCount val="1"/>
                <c:pt idx="0">
                  <c:v>Source Intensity (W/m^2 nm)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Source_Intensity!$A$2:$A$202</c:f>
              <c:numCache>
                <c:formatCode>General</c:formatCode>
                <c:ptCount val="201"/>
                <c:pt idx="0">
                  <c:v>490</c:v>
                </c:pt>
                <c:pt idx="1">
                  <c:v>491</c:v>
                </c:pt>
                <c:pt idx="2">
                  <c:v>492</c:v>
                </c:pt>
                <c:pt idx="3">
                  <c:v>493</c:v>
                </c:pt>
                <c:pt idx="4">
                  <c:v>494</c:v>
                </c:pt>
                <c:pt idx="5">
                  <c:v>495</c:v>
                </c:pt>
                <c:pt idx="6">
                  <c:v>496</c:v>
                </c:pt>
                <c:pt idx="7">
                  <c:v>497</c:v>
                </c:pt>
                <c:pt idx="8">
                  <c:v>498</c:v>
                </c:pt>
                <c:pt idx="9">
                  <c:v>499</c:v>
                </c:pt>
                <c:pt idx="10">
                  <c:v>500</c:v>
                </c:pt>
                <c:pt idx="11">
                  <c:v>501</c:v>
                </c:pt>
                <c:pt idx="12">
                  <c:v>502</c:v>
                </c:pt>
                <c:pt idx="13">
                  <c:v>503</c:v>
                </c:pt>
                <c:pt idx="14">
                  <c:v>504</c:v>
                </c:pt>
                <c:pt idx="15">
                  <c:v>505</c:v>
                </c:pt>
                <c:pt idx="16">
                  <c:v>506</c:v>
                </c:pt>
                <c:pt idx="17">
                  <c:v>507</c:v>
                </c:pt>
                <c:pt idx="18">
                  <c:v>508</c:v>
                </c:pt>
                <c:pt idx="19">
                  <c:v>509</c:v>
                </c:pt>
                <c:pt idx="20">
                  <c:v>510</c:v>
                </c:pt>
                <c:pt idx="21">
                  <c:v>511</c:v>
                </c:pt>
                <c:pt idx="22">
                  <c:v>512</c:v>
                </c:pt>
                <c:pt idx="23">
                  <c:v>513</c:v>
                </c:pt>
                <c:pt idx="24">
                  <c:v>514</c:v>
                </c:pt>
                <c:pt idx="25">
                  <c:v>515</c:v>
                </c:pt>
                <c:pt idx="26">
                  <c:v>516</c:v>
                </c:pt>
                <c:pt idx="27">
                  <c:v>517</c:v>
                </c:pt>
                <c:pt idx="28">
                  <c:v>518</c:v>
                </c:pt>
                <c:pt idx="29">
                  <c:v>519</c:v>
                </c:pt>
                <c:pt idx="30">
                  <c:v>520</c:v>
                </c:pt>
                <c:pt idx="31">
                  <c:v>521</c:v>
                </c:pt>
                <c:pt idx="32">
                  <c:v>522</c:v>
                </c:pt>
                <c:pt idx="33">
                  <c:v>523</c:v>
                </c:pt>
                <c:pt idx="34">
                  <c:v>524</c:v>
                </c:pt>
                <c:pt idx="35">
                  <c:v>525</c:v>
                </c:pt>
                <c:pt idx="36">
                  <c:v>526</c:v>
                </c:pt>
                <c:pt idx="37">
                  <c:v>527</c:v>
                </c:pt>
                <c:pt idx="38">
                  <c:v>528</c:v>
                </c:pt>
                <c:pt idx="39">
                  <c:v>529</c:v>
                </c:pt>
                <c:pt idx="40">
                  <c:v>530</c:v>
                </c:pt>
                <c:pt idx="41">
                  <c:v>531</c:v>
                </c:pt>
                <c:pt idx="42">
                  <c:v>532</c:v>
                </c:pt>
                <c:pt idx="43">
                  <c:v>533</c:v>
                </c:pt>
                <c:pt idx="44">
                  <c:v>534</c:v>
                </c:pt>
                <c:pt idx="45">
                  <c:v>535</c:v>
                </c:pt>
                <c:pt idx="46">
                  <c:v>536</c:v>
                </c:pt>
                <c:pt idx="47">
                  <c:v>537</c:v>
                </c:pt>
                <c:pt idx="48">
                  <c:v>538</c:v>
                </c:pt>
                <c:pt idx="49">
                  <c:v>539</c:v>
                </c:pt>
                <c:pt idx="50">
                  <c:v>540</c:v>
                </c:pt>
                <c:pt idx="51">
                  <c:v>541</c:v>
                </c:pt>
                <c:pt idx="52">
                  <c:v>542</c:v>
                </c:pt>
                <c:pt idx="53">
                  <c:v>543</c:v>
                </c:pt>
                <c:pt idx="54">
                  <c:v>544</c:v>
                </c:pt>
                <c:pt idx="55">
                  <c:v>545</c:v>
                </c:pt>
                <c:pt idx="56">
                  <c:v>546</c:v>
                </c:pt>
                <c:pt idx="57">
                  <c:v>547</c:v>
                </c:pt>
                <c:pt idx="58">
                  <c:v>548</c:v>
                </c:pt>
                <c:pt idx="59">
                  <c:v>549</c:v>
                </c:pt>
                <c:pt idx="60">
                  <c:v>550</c:v>
                </c:pt>
                <c:pt idx="61">
                  <c:v>551</c:v>
                </c:pt>
                <c:pt idx="62">
                  <c:v>552</c:v>
                </c:pt>
                <c:pt idx="63">
                  <c:v>553</c:v>
                </c:pt>
                <c:pt idx="64">
                  <c:v>554</c:v>
                </c:pt>
                <c:pt idx="65">
                  <c:v>555</c:v>
                </c:pt>
                <c:pt idx="66">
                  <c:v>556</c:v>
                </c:pt>
                <c:pt idx="67">
                  <c:v>557</c:v>
                </c:pt>
                <c:pt idx="68">
                  <c:v>558</c:v>
                </c:pt>
                <c:pt idx="69">
                  <c:v>559</c:v>
                </c:pt>
                <c:pt idx="70">
                  <c:v>560</c:v>
                </c:pt>
                <c:pt idx="71">
                  <c:v>561</c:v>
                </c:pt>
                <c:pt idx="72">
                  <c:v>562</c:v>
                </c:pt>
                <c:pt idx="73">
                  <c:v>563</c:v>
                </c:pt>
                <c:pt idx="74">
                  <c:v>564</c:v>
                </c:pt>
                <c:pt idx="75">
                  <c:v>565</c:v>
                </c:pt>
                <c:pt idx="76">
                  <c:v>566</c:v>
                </c:pt>
                <c:pt idx="77">
                  <c:v>567</c:v>
                </c:pt>
                <c:pt idx="78">
                  <c:v>568</c:v>
                </c:pt>
                <c:pt idx="79">
                  <c:v>569</c:v>
                </c:pt>
                <c:pt idx="80">
                  <c:v>570</c:v>
                </c:pt>
                <c:pt idx="81">
                  <c:v>571</c:v>
                </c:pt>
                <c:pt idx="82">
                  <c:v>572</c:v>
                </c:pt>
                <c:pt idx="83">
                  <c:v>573</c:v>
                </c:pt>
                <c:pt idx="84">
                  <c:v>574</c:v>
                </c:pt>
                <c:pt idx="85">
                  <c:v>575</c:v>
                </c:pt>
                <c:pt idx="86">
                  <c:v>576</c:v>
                </c:pt>
                <c:pt idx="87">
                  <c:v>577</c:v>
                </c:pt>
                <c:pt idx="88">
                  <c:v>578</c:v>
                </c:pt>
                <c:pt idx="89">
                  <c:v>579</c:v>
                </c:pt>
                <c:pt idx="90">
                  <c:v>580</c:v>
                </c:pt>
                <c:pt idx="91">
                  <c:v>581</c:v>
                </c:pt>
                <c:pt idx="92">
                  <c:v>582</c:v>
                </c:pt>
                <c:pt idx="93">
                  <c:v>583</c:v>
                </c:pt>
                <c:pt idx="94">
                  <c:v>584</c:v>
                </c:pt>
                <c:pt idx="95">
                  <c:v>585</c:v>
                </c:pt>
                <c:pt idx="96">
                  <c:v>586</c:v>
                </c:pt>
                <c:pt idx="97">
                  <c:v>587</c:v>
                </c:pt>
                <c:pt idx="98">
                  <c:v>588</c:v>
                </c:pt>
                <c:pt idx="99">
                  <c:v>589</c:v>
                </c:pt>
                <c:pt idx="100">
                  <c:v>590</c:v>
                </c:pt>
                <c:pt idx="101">
                  <c:v>591</c:v>
                </c:pt>
                <c:pt idx="102">
                  <c:v>592</c:v>
                </c:pt>
                <c:pt idx="103">
                  <c:v>593</c:v>
                </c:pt>
                <c:pt idx="104">
                  <c:v>594</c:v>
                </c:pt>
                <c:pt idx="105">
                  <c:v>595</c:v>
                </c:pt>
                <c:pt idx="106">
                  <c:v>596</c:v>
                </c:pt>
                <c:pt idx="107">
                  <c:v>597</c:v>
                </c:pt>
                <c:pt idx="108">
                  <c:v>598</c:v>
                </c:pt>
                <c:pt idx="109">
                  <c:v>599</c:v>
                </c:pt>
                <c:pt idx="110">
                  <c:v>600</c:v>
                </c:pt>
                <c:pt idx="111">
                  <c:v>601</c:v>
                </c:pt>
                <c:pt idx="112">
                  <c:v>602</c:v>
                </c:pt>
                <c:pt idx="113">
                  <c:v>603</c:v>
                </c:pt>
                <c:pt idx="114">
                  <c:v>604</c:v>
                </c:pt>
                <c:pt idx="115">
                  <c:v>605</c:v>
                </c:pt>
                <c:pt idx="116">
                  <c:v>606</c:v>
                </c:pt>
                <c:pt idx="117">
                  <c:v>607</c:v>
                </c:pt>
                <c:pt idx="118">
                  <c:v>608</c:v>
                </c:pt>
                <c:pt idx="119">
                  <c:v>609</c:v>
                </c:pt>
                <c:pt idx="120">
                  <c:v>610</c:v>
                </c:pt>
              </c:numCache>
            </c:numRef>
          </c:xVal>
          <c:yVal>
            <c:numRef>
              <c:f>Source_Intensity!$B$2:$B$202</c:f>
              <c:numCache>
                <c:formatCode>General</c:formatCode>
                <c:ptCount val="201"/>
                <c:pt idx="0">
                  <c:v>1.5338106793244656E-3</c:v>
                </c:pt>
                <c:pt idx="1">
                  <c:v>1.9001926561053196E-3</c:v>
                </c:pt>
                <c:pt idx="2">
                  <c:v>2.3456329471668626E-3</c:v>
                </c:pt>
                <c:pt idx="3">
                  <c:v>2.8850876448099608E-3</c:v>
                </c:pt>
                <c:pt idx="4">
                  <c:v>3.5358555015075786E-3</c:v>
                </c:pt>
                <c:pt idx="5">
                  <c:v>4.3178400076330815E-3</c:v>
                </c:pt>
                <c:pt idx="6">
                  <c:v>5.2538192009853931E-3</c:v>
                </c:pt>
                <c:pt idx="7">
                  <c:v>6.369718512085289E-3</c:v>
                </c:pt>
                <c:pt idx="8">
                  <c:v>7.6948808183874848E-3</c:v>
                </c:pt>
                <c:pt idx="9">
                  <c:v>9.2623266850553852E-3</c:v>
                </c:pt>
                <c:pt idx="10">
                  <c:v>1.1108996538242306E-2</c:v>
                </c:pt>
                <c:pt idx="11">
                  <c:v>1.3275965284957046E-2</c:v>
                </c:pt>
                <c:pt idx="12">
                  <c:v>1.5808618705241848E-2</c:v>
                </c:pt>
                <c:pt idx="13">
                  <c:v>1.875677984858105E-2</c:v>
                </c:pt>
                <c:pt idx="14">
                  <c:v>2.2174772724855216E-2</c:v>
                </c:pt>
                <c:pt idx="15">
                  <c:v>2.6121409853918254E-2</c:v>
                </c:pt>
                <c:pt idx="16">
                  <c:v>3.0659889794007553E-2</c:v>
                </c:pt>
                <c:pt idx="17">
                  <c:v>3.5857590676413885E-2</c:v>
                </c:pt>
                <c:pt idx="18">
                  <c:v>4.1785746099929272E-2</c:v>
                </c:pt>
                <c:pt idx="19">
                  <c:v>4.8518990547354E-2</c:v>
                </c:pt>
                <c:pt idx="20">
                  <c:v>5.6134762834133725E-2</c:v>
                </c:pt>
                <c:pt idx="21">
                  <c:v>6.4712558031226858E-2</c:v>
                </c:pt>
                <c:pt idx="22">
                  <c:v>7.4333020850789674E-2</c:v>
                </c:pt>
                <c:pt idx="23">
                  <c:v>8.5076876655682046E-2</c:v>
                </c:pt>
                <c:pt idx="24">
                  <c:v>9.7023700041287075E-2</c:v>
                </c:pt>
                <c:pt idx="25">
                  <c:v>0.11025052530448531</c:v>
                </c:pt>
                <c:pt idx="26">
                  <c:v>0.12483030799583289</c:v>
                </c:pt>
                <c:pt idx="27">
                  <c:v>0.14083025205384148</c:v>
                </c:pt>
                <c:pt idx="28">
                  <c:v>0.1583100226219388</c:v>
                </c:pt>
                <c:pt idx="29">
                  <c:v>0.17731987039779637</c:v>
                </c:pt>
                <c:pt idx="30">
                  <c:v>0.19789869908361474</c:v>
                </c:pt>
                <c:pt idx="31">
                  <c:v>0.22007211299479595</c:v>
                </c:pt>
                <c:pt idx="32">
                  <c:v>0.2438504869265247</c:v>
                </c:pt>
                <c:pt idx="33">
                  <c:v>0.26922710474659961</c:v>
                </c:pt>
                <c:pt idx="34">
                  <c:v>0.29617641665026678</c:v>
                </c:pt>
                <c:pt idx="35">
                  <c:v>0.32465246735834968</c:v>
                </c:pt>
                <c:pt idx="36">
                  <c:v>0.35458754856089897</c:v>
                </c:pt>
                <c:pt idx="37">
                  <c:v>0.38589112843021905</c:v>
                </c:pt>
                <c:pt idx="38">
                  <c:v>0.41844910891303544</c:v>
                </c:pt>
                <c:pt idx="39">
                  <c:v>0.45212345767308282</c:v>
                </c:pt>
                <c:pt idx="40">
                  <c:v>0.48675225595997168</c:v>
                </c:pt>
                <c:pt idx="41">
                  <c:v>0.52215019635797977</c:v>
                </c:pt>
                <c:pt idx="42">
                  <c:v>0.55810955541668272</c:v>
                </c:pt>
                <c:pt idx="43">
                  <c:v>0.59440165575021864</c:v>
                </c:pt>
                <c:pt idx="44">
                  <c:v>0.6307788205474284</c:v>
                </c:pt>
                <c:pt idx="45">
                  <c:v>0.66697681085847449</c:v>
                </c:pt>
                <c:pt idx="46">
                  <c:v>0.70271772286839773</c:v>
                </c:pt>
                <c:pt idx="47">
                  <c:v>0.73771330903353483</c:v>
                </c:pt>
                <c:pt idx="48">
                  <c:v>0.7716686738745262</c:v>
                </c:pt>
                <c:pt idx="49">
                  <c:v>0.80428628283847392</c:v>
                </c:pt>
                <c:pt idx="50">
                  <c:v>0.835270211411272</c:v>
                </c:pt>
                <c:pt idx="51">
                  <c:v>0.86433055200958619</c:v>
                </c:pt>
                <c:pt idx="52">
                  <c:v>0.89118788850418451</c:v>
                </c:pt>
                <c:pt idx="53">
                  <c:v>0.91557774286197768</c:v>
                </c:pt>
                <c:pt idx="54">
                  <c:v>0.93725489561267772</c:v>
                </c:pt>
                <c:pt idx="55">
                  <c:v>0.95599748183309996</c:v>
                </c:pt>
                <c:pt idx="56">
                  <c:v>0.97161076718912276</c:v>
                </c:pt>
                <c:pt idx="57">
                  <c:v>0.98393051427250833</c:v>
                </c:pt>
                <c:pt idx="58">
                  <c:v>0.99282585790381339</c:v>
                </c:pt>
                <c:pt idx="59">
                  <c:v>0.99820161902843729</c:v>
                </c:pt>
                <c:pt idx="60">
                  <c:v>1</c:v>
                </c:pt>
                <c:pt idx="61">
                  <c:v>0.99820161902843729</c:v>
                </c:pt>
                <c:pt idx="62">
                  <c:v>0.99282585790381339</c:v>
                </c:pt>
                <c:pt idx="63">
                  <c:v>0.98393051427250833</c:v>
                </c:pt>
                <c:pt idx="64">
                  <c:v>0.97161076718912276</c:v>
                </c:pt>
                <c:pt idx="65">
                  <c:v>0.95599748183309996</c:v>
                </c:pt>
                <c:pt idx="66">
                  <c:v>0.93725489561267772</c:v>
                </c:pt>
                <c:pt idx="67">
                  <c:v>0.91557774286197768</c:v>
                </c:pt>
                <c:pt idx="68">
                  <c:v>0.89118788850418451</c:v>
                </c:pt>
                <c:pt idx="69">
                  <c:v>0.86433055200958619</c:v>
                </c:pt>
                <c:pt idx="70">
                  <c:v>0.835270211411272</c:v>
                </c:pt>
                <c:pt idx="71">
                  <c:v>0.80428628283847392</c:v>
                </c:pt>
                <c:pt idx="72">
                  <c:v>0.7716686738745262</c:v>
                </c:pt>
                <c:pt idx="73">
                  <c:v>0.73771330903353483</c:v>
                </c:pt>
                <c:pt idx="74">
                  <c:v>0.70271772286839773</c:v>
                </c:pt>
                <c:pt idx="75">
                  <c:v>0.66697681085847449</c:v>
                </c:pt>
                <c:pt idx="76">
                  <c:v>0.6307788205474284</c:v>
                </c:pt>
                <c:pt idx="77">
                  <c:v>0.59440165575021864</c:v>
                </c:pt>
                <c:pt idx="78">
                  <c:v>0.55810955541668272</c:v>
                </c:pt>
                <c:pt idx="79">
                  <c:v>0.52215019635797977</c:v>
                </c:pt>
                <c:pt idx="80">
                  <c:v>0.48675225595997168</c:v>
                </c:pt>
                <c:pt idx="81">
                  <c:v>0.45212345767308282</c:v>
                </c:pt>
                <c:pt idx="82">
                  <c:v>0.41844910891303544</c:v>
                </c:pt>
                <c:pt idx="83">
                  <c:v>0.38589112843021905</c:v>
                </c:pt>
                <c:pt idx="84">
                  <c:v>0.35458754856089897</c:v>
                </c:pt>
                <c:pt idx="85">
                  <c:v>0.32465246735834968</c:v>
                </c:pt>
                <c:pt idx="86">
                  <c:v>0.29617641665026678</c:v>
                </c:pt>
                <c:pt idx="87">
                  <c:v>0.26922710474659961</c:v>
                </c:pt>
                <c:pt idx="88">
                  <c:v>0.2438504869265247</c:v>
                </c:pt>
                <c:pt idx="89">
                  <c:v>0.22007211299479595</c:v>
                </c:pt>
                <c:pt idx="90">
                  <c:v>0.19789869908361474</c:v>
                </c:pt>
                <c:pt idx="91">
                  <c:v>0.17731987039779637</c:v>
                </c:pt>
                <c:pt idx="92">
                  <c:v>0.1583100226219388</c:v>
                </c:pt>
                <c:pt idx="93">
                  <c:v>0.14083025205384148</c:v>
                </c:pt>
                <c:pt idx="94">
                  <c:v>0.12483030799583289</c:v>
                </c:pt>
                <c:pt idx="95">
                  <c:v>0.11025052530448531</c:v>
                </c:pt>
                <c:pt idx="96">
                  <c:v>9.7023700041287075E-2</c:v>
                </c:pt>
                <c:pt idx="97">
                  <c:v>8.5076876655682046E-2</c:v>
                </c:pt>
                <c:pt idx="98">
                  <c:v>7.4333020850789674E-2</c:v>
                </c:pt>
                <c:pt idx="99">
                  <c:v>6.4712558031226858E-2</c:v>
                </c:pt>
                <c:pt idx="100">
                  <c:v>5.6134762834133725E-2</c:v>
                </c:pt>
                <c:pt idx="101">
                  <c:v>4.8518990547354E-2</c:v>
                </c:pt>
                <c:pt idx="102">
                  <c:v>4.1785746099929272E-2</c:v>
                </c:pt>
                <c:pt idx="103">
                  <c:v>3.5857590676413885E-2</c:v>
                </c:pt>
                <c:pt idx="104">
                  <c:v>3.0659889794007553E-2</c:v>
                </c:pt>
                <c:pt idx="105">
                  <c:v>2.6121409853918254E-2</c:v>
                </c:pt>
                <c:pt idx="106">
                  <c:v>2.2174772724855216E-2</c:v>
                </c:pt>
                <c:pt idx="107">
                  <c:v>1.875677984858105E-2</c:v>
                </c:pt>
                <c:pt idx="108">
                  <c:v>1.5808618705241848E-2</c:v>
                </c:pt>
                <c:pt idx="109">
                  <c:v>1.3275965284957046E-2</c:v>
                </c:pt>
                <c:pt idx="110">
                  <c:v>1.1108996538242306E-2</c:v>
                </c:pt>
                <c:pt idx="111">
                  <c:v>9.2623266850553852E-3</c:v>
                </c:pt>
                <c:pt idx="112">
                  <c:v>7.6948808183874848E-3</c:v>
                </c:pt>
                <c:pt idx="113">
                  <c:v>6.369718512085289E-3</c:v>
                </c:pt>
                <c:pt idx="114">
                  <c:v>5.2538192009853931E-3</c:v>
                </c:pt>
                <c:pt idx="115">
                  <c:v>4.3178400076330815E-3</c:v>
                </c:pt>
                <c:pt idx="116">
                  <c:v>3.5358555015075786E-3</c:v>
                </c:pt>
                <c:pt idx="117">
                  <c:v>2.8850876448099608E-3</c:v>
                </c:pt>
                <c:pt idx="118">
                  <c:v>2.3456329471668626E-3</c:v>
                </c:pt>
                <c:pt idx="119">
                  <c:v>1.9001926561053196E-3</c:v>
                </c:pt>
                <c:pt idx="120">
                  <c:v>1.5338106793244656E-3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1-4FCF-AFEC-F735B1438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788752"/>
        <c:axId val="738790832"/>
      </c:scatterChart>
      <c:valAx>
        <c:axId val="738788752"/>
        <c:scaling>
          <c:orientation val="minMax"/>
          <c:max val="8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90832"/>
        <c:crosses val="autoZero"/>
        <c:crossBetween val="midCat"/>
      </c:valAx>
      <c:valAx>
        <c:axId val="7387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Normalized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122464</xdr:colOff>
      <xdr:row>2</xdr:row>
      <xdr:rowOff>4762</xdr:rowOff>
    </xdr:from>
    <xdr:to>
      <xdr:col>14</xdr:col>
      <xdr:colOff>163286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E931B-3670-C4F9-562D-94394CB70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275854</xdr:colOff>
      <xdr:row>32</xdr:row>
      <xdr:rowOff>40821</xdr:rowOff>
    </xdr:from>
    <xdr:to>
      <xdr:col>16</xdr:col>
      <xdr:colOff>261369</xdr:colOff>
      <xdr:row>56</xdr:row>
      <xdr:rowOff>174828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7C396F-1C06-E352-98D4-E42AF64AB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3711" y="6136821"/>
          <a:ext cx="7945694" cy="4706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E1A9-A9E6-4F4D-A848-95B80580C65F}">
  <dimension ref="A1:D12"/>
  <sheetViews>
    <sheetView workbookViewId="0">
      <selection activeCell="B5" sqref="B5"/>
    </sheetView>
  </sheetViews>
  <sheetFormatPr defaultColWidth="9.140625" defaultRowHeight="15" x14ac:dyDescent="0.25"/>
  <cols>
    <col min="1" max="1" width="30.5703125" style="7" bestFit="1" customWidth="1"/>
    <col min="2" max="2" width="21.140625" style="7" bestFit="1" customWidth="1"/>
    <col min="3" max="3" width="6.5703125" style="7" bestFit="1" customWidth="1"/>
    <col min="4" max="4" width="56.42578125" style="7" bestFit="1" customWidth="1"/>
    <col min="5" max="16384" width="9.140625" style="7"/>
  </cols>
  <sheetData>
    <row r="1" spans="1:4" x14ac:dyDescent="0.25">
      <c r="A1" s="7" t="s">
        <v>6</v>
      </c>
      <c r="B1" s="7" t="s">
        <v>7</v>
      </c>
      <c r="C1" s="7" t="s">
        <v>8</v>
      </c>
      <c r="D1" s="7" t="s">
        <v>9</v>
      </c>
    </row>
    <row r="2" spans="1:4" x14ac:dyDescent="0.25">
      <c r="A2" s="7" t="s">
        <v>10</v>
      </c>
      <c r="B2" s="7" t="s">
        <v>34</v>
      </c>
      <c r="C2" s="7" t="s">
        <v>11</v>
      </c>
      <c r="D2" s="7" t="s">
        <v>12</v>
      </c>
    </row>
    <row r="3" spans="1:4" x14ac:dyDescent="0.25">
      <c r="A3" s="7" t="s">
        <v>13</v>
      </c>
      <c r="B3" s="7">
        <v>3</v>
      </c>
      <c r="D3" s="7" t="s">
        <v>14</v>
      </c>
    </row>
    <row r="4" spans="1:4" x14ac:dyDescent="0.25">
      <c r="A4" s="7" t="s">
        <v>15</v>
      </c>
      <c r="B4" s="7" t="s">
        <v>38</v>
      </c>
    </row>
    <row r="5" spans="1:4" x14ac:dyDescent="0.25">
      <c r="A5" s="7" t="s">
        <v>16</v>
      </c>
      <c r="B5" s="7" t="s">
        <v>41</v>
      </c>
      <c r="C5" s="7" t="s">
        <v>11</v>
      </c>
      <c r="D5" s="7" t="s">
        <v>40</v>
      </c>
    </row>
    <row r="6" spans="1:4" x14ac:dyDescent="0.25">
      <c r="A6" s="7" t="s">
        <v>17</v>
      </c>
      <c r="B6" s="7" t="s">
        <v>39</v>
      </c>
      <c r="C6" s="7" t="s">
        <v>11</v>
      </c>
    </row>
    <row r="7" spans="1:4" x14ac:dyDescent="0.25">
      <c r="A7" s="7" t="s">
        <v>18</v>
      </c>
      <c r="B7" s="7">
        <v>2000</v>
      </c>
      <c r="C7" s="7" t="s">
        <v>19</v>
      </c>
      <c r="D7" s="7" t="s">
        <v>20</v>
      </c>
    </row>
    <row r="8" spans="1:4" x14ac:dyDescent="0.25">
      <c r="A8" s="7" t="s">
        <v>21</v>
      </c>
      <c r="B8" s="8">
        <v>8.5000000000000005E-20</v>
      </c>
      <c r="C8" s="7" t="s">
        <v>22</v>
      </c>
      <c r="D8" s="7" t="s">
        <v>23</v>
      </c>
    </row>
    <row r="9" spans="1:4" x14ac:dyDescent="0.25">
      <c r="A9" s="7" t="s">
        <v>24</v>
      </c>
      <c r="B9" s="7">
        <v>0.17</v>
      </c>
      <c r="D9" s="7" t="s">
        <v>25</v>
      </c>
    </row>
    <row r="10" spans="1:4" x14ac:dyDescent="0.25">
      <c r="A10" s="7" t="s">
        <v>26</v>
      </c>
      <c r="B10" s="8">
        <v>72400000000</v>
      </c>
      <c r="C10" s="7" t="s">
        <v>27</v>
      </c>
      <c r="D10" s="7" t="s">
        <v>28</v>
      </c>
    </row>
    <row r="11" spans="1:4" x14ac:dyDescent="0.25">
      <c r="A11" s="7" t="s">
        <v>29</v>
      </c>
      <c r="B11" s="7">
        <v>1.54</v>
      </c>
      <c r="D11" s="7" t="s">
        <v>31</v>
      </c>
    </row>
    <row r="12" spans="1:4" x14ac:dyDescent="0.25">
      <c r="A12" s="7" t="s">
        <v>30</v>
      </c>
      <c r="B12" s="7">
        <v>0</v>
      </c>
      <c r="D12" s="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1489-2738-4BEA-A57C-98BE6B60F585}">
  <dimension ref="A1:L202"/>
  <sheetViews>
    <sheetView zoomScale="70" zoomScaleNormal="70" workbookViewId="0">
      <selection activeCell="U13" sqref="U13"/>
    </sheetView>
  </sheetViews>
  <sheetFormatPr defaultColWidth="9.140625" defaultRowHeight="15" x14ac:dyDescent="0.25"/>
  <cols>
    <col min="1" max="1" width="16.5703125" bestFit="1" customWidth="1"/>
    <col min="2" max="2" width="27.42578125" bestFit="1" customWidth="1"/>
    <col min="3" max="16384" width="9.140625" style="7"/>
  </cols>
  <sheetData>
    <row r="1" spans="1:5" x14ac:dyDescent="0.25">
      <c r="A1" s="9" t="s">
        <v>33</v>
      </c>
      <c r="B1" s="9" t="s">
        <v>35</v>
      </c>
    </row>
    <row r="2" spans="1:5" x14ac:dyDescent="0.25">
      <c r="A2" s="7">
        <v>490</v>
      </c>
      <c r="B2" s="7">
        <f>_xlfn.NORM.DIST(A2,$E$2,$E$3,FALSE)/_xlfn.NORM.DIST($E$2,$E$2,$E$3,FALSE)</f>
        <v>1.5338106793244656E-3</v>
      </c>
      <c r="D2" s="9" t="s">
        <v>16</v>
      </c>
      <c r="E2" s="7">
        <v>550</v>
      </c>
    </row>
    <row r="3" spans="1:5" x14ac:dyDescent="0.25">
      <c r="A3" s="7">
        <v>491</v>
      </c>
      <c r="B3" s="7">
        <f t="shared" ref="B3:B66" si="0">_xlfn.NORM.DIST(A3,$E$2,$E$3,FALSE)/_xlfn.NORM.DIST($E$2,$E$2,$E$3,FALSE)</f>
        <v>1.9001926561053196E-3</v>
      </c>
      <c r="D3" s="9" t="s">
        <v>17</v>
      </c>
      <c r="E3" s="7">
        <f>50/3</f>
        <v>16.666666666666668</v>
      </c>
    </row>
    <row r="4" spans="1:5" x14ac:dyDescent="0.25">
      <c r="A4" s="7">
        <v>492</v>
      </c>
      <c r="B4" s="7">
        <f t="shared" si="0"/>
        <v>2.3456329471668626E-3</v>
      </c>
    </row>
    <row r="5" spans="1:5" x14ac:dyDescent="0.25">
      <c r="A5" s="7">
        <v>493</v>
      </c>
      <c r="B5" s="7">
        <f t="shared" si="0"/>
        <v>2.8850876448099608E-3</v>
      </c>
    </row>
    <row r="6" spans="1:5" x14ac:dyDescent="0.25">
      <c r="A6" s="7">
        <v>494</v>
      </c>
      <c r="B6" s="7">
        <f t="shared" si="0"/>
        <v>3.5358555015075786E-3</v>
      </c>
    </row>
    <row r="7" spans="1:5" x14ac:dyDescent="0.25">
      <c r="A7" s="7">
        <v>495</v>
      </c>
      <c r="B7" s="7">
        <f t="shared" si="0"/>
        <v>4.3178400076330815E-3</v>
      </c>
    </row>
    <row r="8" spans="1:5" x14ac:dyDescent="0.25">
      <c r="A8" s="7">
        <v>496</v>
      </c>
      <c r="B8" s="7">
        <f t="shared" si="0"/>
        <v>5.2538192009853931E-3</v>
      </c>
    </row>
    <row r="9" spans="1:5" x14ac:dyDescent="0.25">
      <c r="A9" s="7">
        <v>497</v>
      </c>
      <c r="B9" s="7">
        <f t="shared" si="0"/>
        <v>6.369718512085289E-3</v>
      </c>
    </row>
    <row r="10" spans="1:5" x14ac:dyDescent="0.25">
      <c r="A10" s="7">
        <v>498</v>
      </c>
      <c r="B10" s="7">
        <f t="shared" si="0"/>
        <v>7.6948808183874848E-3</v>
      </c>
    </row>
    <row r="11" spans="1:5" x14ac:dyDescent="0.25">
      <c r="A11" s="7">
        <v>499</v>
      </c>
      <c r="B11" s="7">
        <f t="shared" si="0"/>
        <v>9.2623266850553852E-3</v>
      </c>
    </row>
    <row r="12" spans="1:5" x14ac:dyDescent="0.25">
      <c r="A12" s="7">
        <v>500</v>
      </c>
      <c r="B12" s="7">
        <f t="shared" si="0"/>
        <v>1.1108996538242306E-2</v>
      </c>
    </row>
    <row r="13" spans="1:5" x14ac:dyDescent="0.25">
      <c r="A13" s="7">
        <v>501</v>
      </c>
      <c r="B13" s="7">
        <f t="shared" si="0"/>
        <v>1.3275965284957046E-2</v>
      </c>
    </row>
    <row r="14" spans="1:5" x14ac:dyDescent="0.25">
      <c r="A14" s="7">
        <v>502</v>
      </c>
      <c r="B14" s="7">
        <f t="shared" si="0"/>
        <v>1.5808618705241848E-2</v>
      </c>
    </row>
    <row r="15" spans="1:5" x14ac:dyDescent="0.25">
      <c r="A15" s="7">
        <v>503</v>
      </c>
      <c r="B15" s="7">
        <f t="shared" si="0"/>
        <v>1.875677984858105E-2</v>
      </c>
    </row>
    <row r="16" spans="1:5" x14ac:dyDescent="0.25">
      <c r="A16" s="7">
        <v>504</v>
      </c>
      <c r="B16" s="7">
        <f t="shared" si="0"/>
        <v>2.2174772724855216E-2</v>
      </c>
    </row>
    <row r="17" spans="1:12" x14ac:dyDescent="0.25">
      <c r="A17" s="7">
        <v>505</v>
      </c>
      <c r="B17" s="7">
        <f t="shared" si="0"/>
        <v>2.6121409853918254E-2</v>
      </c>
    </row>
    <row r="18" spans="1:12" x14ac:dyDescent="0.25">
      <c r="A18" s="7">
        <v>506</v>
      </c>
      <c r="B18" s="7">
        <f t="shared" si="0"/>
        <v>3.0659889794007553E-2</v>
      </c>
    </row>
    <row r="19" spans="1:12" x14ac:dyDescent="0.25">
      <c r="A19" s="7">
        <v>507</v>
      </c>
      <c r="B19" s="7">
        <f t="shared" si="0"/>
        <v>3.5857590676413885E-2</v>
      </c>
    </row>
    <row r="20" spans="1:12" x14ac:dyDescent="0.25">
      <c r="A20" s="7">
        <v>508</v>
      </c>
      <c r="B20" s="7">
        <f t="shared" si="0"/>
        <v>4.1785746099929272E-2</v>
      </c>
    </row>
    <row r="21" spans="1:12" x14ac:dyDescent="0.25">
      <c r="A21" s="7">
        <v>509</v>
      </c>
      <c r="B21" s="7">
        <f t="shared" si="0"/>
        <v>4.8518990547354E-2</v>
      </c>
    </row>
    <row r="22" spans="1:12" x14ac:dyDescent="0.25">
      <c r="A22" s="7">
        <v>510</v>
      </c>
      <c r="B22" s="7">
        <f t="shared" si="0"/>
        <v>5.6134762834133725E-2</v>
      </c>
    </row>
    <row r="23" spans="1:12" x14ac:dyDescent="0.25">
      <c r="A23" s="7">
        <v>511</v>
      </c>
      <c r="B23" s="7">
        <f t="shared" si="0"/>
        <v>6.4712558031226858E-2</v>
      </c>
    </row>
    <row r="24" spans="1:12" x14ac:dyDescent="0.25">
      <c r="A24" s="7">
        <v>512</v>
      </c>
      <c r="B24" s="7">
        <f t="shared" si="0"/>
        <v>7.4333020850789674E-2</v>
      </c>
    </row>
    <row r="25" spans="1:12" x14ac:dyDescent="0.25">
      <c r="A25" s="7">
        <v>513</v>
      </c>
      <c r="B25" s="7">
        <f t="shared" si="0"/>
        <v>8.5076876655682046E-2</v>
      </c>
    </row>
    <row r="26" spans="1:12" x14ac:dyDescent="0.25">
      <c r="A26" s="7">
        <v>514</v>
      </c>
      <c r="B26" s="7">
        <f t="shared" si="0"/>
        <v>9.7023700041287075E-2</v>
      </c>
    </row>
    <row r="27" spans="1:12" x14ac:dyDescent="0.25">
      <c r="A27" s="7">
        <v>515</v>
      </c>
      <c r="B27" s="7">
        <f t="shared" si="0"/>
        <v>0.11025052530448531</v>
      </c>
    </row>
    <row r="28" spans="1:12" x14ac:dyDescent="0.25">
      <c r="A28" s="7">
        <v>516</v>
      </c>
      <c r="B28" s="7">
        <f t="shared" si="0"/>
        <v>0.12483030799583289</v>
      </c>
    </row>
    <row r="29" spans="1:12" x14ac:dyDescent="0.25">
      <c r="A29" s="7">
        <v>517</v>
      </c>
      <c r="B29" s="7">
        <f t="shared" si="0"/>
        <v>0.14083025205384148</v>
      </c>
    </row>
    <row r="30" spans="1:12" x14ac:dyDescent="0.25">
      <c r="A30" s="7">
        <v>518</v>
      </c>
      <c r="B30" s="7">
        <f t="shared" si="0"/>
        <v>0.1583100226219388</v>
      </c>
      <c r="H30" s="13" t="s">
        <v>36</v>
      </c>
      <c r="I30" s="14"/>
      <c r="J30" s="14"/>
      <c r="K30" s="14"/>
      <c r="L30" s="14"/>
    </row>
    <row r="31" spans="1:12" x14ac:dyDescent="0.25">
      <c r="A31" s="7">
        <v>519</v>
      </c>
      <c r="B31" s="7">
        <f t="shared" si="0"/>
        <v>0.17731987039779637</v>
      </c>
      <c r="H31" s="14"/>
      <c r="I31" s="14"/>
      <c r="J31" s="14"/>
      <c r="K31" s="14"/>
      <c r="L31" s="14"/>
    </row>
    <row r="32" spans="1:12" x14ac:dyDescent="0.25">
      <c r="A32" s="7">
        <v>520</v>
      </c>
      <c r="B32" s="7">
        <f t="shared" si="0"/>
        <v>0.19789869908361474</v>
      </c>
      <c r="H32" s="14"/>
      <c r="I32" s="14"/>
      <c r="J32" s="14"/>
      <c r="K32" s="14"/>
      <c r="L32" s="14"/>
    </row>
    <row r="33" spans="1:2" x14ac:dyDescent="0.25">
      <c r="A33" s="7">
        <v>521</v>
      </c>
      <c r="B33" s="7">
        <f t="shared" si="0"/>
        <v>0.22007211299479595</v>
      </c>
    </row>
    <row r="34" spans="1:2" x14ac:dyDescent="0.25">
      <c r="A34" s="7">
        <v>522</v>
      </c>
      <c r="B34" s="7">
        <f t="shared" si="0"/>
        <v>0.2438504869265247</v>
      </c>
    </row>
    <row r="35" spans="1:2" x14ac:dyDescent="0.25">
      <c r="A35" s="7">
        <v>523</v>
      </c>
      <c r="B35" s="7">
        <f t="shared" si="0"/>
        <v>0.26922710474659961</v>
      </c>
    </row>
    <row r="36" spans="1:2" x14ac:dyDescent="0.25">
      <c r="A36" s="7">
        <v>524</v>
      </c>
      <c r="B36" s="7">
        <f t="shared" si="0"/>
        <v>0.29617641665026678</v>
      </c>
    </row>
    <row r="37" spans="1:2" x14ac:dyDescent="0.25">
      <c r="A37" s="7">
        <v>525</v>
      </c>
      <c r="B37" s="7">
        <f t="shared" si="0"/>
        <v>0.32465246735834968</v>
      </c>
    </row>
    <row r="38" spans="1:2" x14ac:dyDescent="0.25">
      <c r="A38" s="7">
        <v>526</v>
      </c>
      <c r="B38" s="7">
        <f t="shared" si="0"/>
        <v>0.35458754856089897</v>
      </c>
    </row>
    <row r="39" spans="1:2" x14ac:dyDescent="0.25">
      <c r="A39" s="7">
        <v>527</v>
      </c>
      <c r="B39" s="7">
        <f t="shared" si="0"/>
        <v>0.38589112843021905</v>
      </c>
    </row>
    <row r="40" spans="1:2" x14ac:dyDescent="0.25">
      <c r="A40" s="7">
        <v>528</v>
      </c>
      <c r="B40" s="7">
        <f t="shared" si="0"/>
        <v>0.41844910891303544</v>
      </c>
    </row>
    <row r="41" spans="1:2" x14ac:dyDescent="0.25">
      <c r="A41" s="7">
        <v>529</v>
      </c>
      <c r="B41" s="7">
        <f t="shared" si="0"/>
        <v>0.45212345767308282</v>
      </c>
    </row>
    <row r="42" spans="1:2" x14ac:dyDescent="0.25">
      <c r="A42" s="7">
        <v>530</v>
      </c>
      <c r="B42" s="7">
        <f t="shared" si="0"/>
        <v>0.48675225595997168</v>
      </c>
    </row>
    <row r="43" spans="1:2" x14ac:dyDescent="0.25">
      <c r="A43" s="7">
        <v>531</v>
      </c>
      <c r="B43" s="7">
        <f t="shared" si="0"/>
        <v>0.52215019635797977</v>
      </c>
    </row>
    <row r="44" spans="1:2" x14ac:dyDescent="0.25">
      <c r="A44" s="7">
        <v>532</v>
      </c>
      <c r="B44" s="7">
        <f t="shared" si="0"/>
        <v>0.55810955541668272</v>
      </c>
    </row>
    <row r="45" spans="1:2" x14ac:dyDescent="0.25">
      <c r="A45" s="7">
        <v>533</v>
      </c>
      <c r="B45" s="7">
        <f t="shared" si="0"/>
        <v>0.59440165575021864</v>
      </c>
    </row>
    <row r="46" spans="1:2" x14ac:dyDescent="0.25">
      <c r="A46" s="7">
        <v>534</v>
      </c>
      <c r="B46" s="7">
        <f t="shared" si="0"/>
        <v>0.6307788205474284</v>
      </c>
    </row>
    <row r="47" spans="1:2" x14ac:dyDescent="0.25">
      <c r="A47" s="7">
        <v>535</v>
      </c>
      <c r="B47" s="7">
        <f t="shared" si="0"/>
        <v>0.66697681085847449</v>
      </c>
    </row>
    <row r="48" spans="1:2" x14ac:dyDescent="0.25">
      <c r="A48" s="7">
        <v>536</v>
      </c>
      <c r="B48" s="7">
        <f t="shared" si="0"/>
        <v>0.70271772286839773</v>
      </c>
    </row>
    <row r="49" spans="1:2" x14ac:dyDescent="0.25">
      <c r="A49" s="7">
        <v>537</v>
      </c>
      <c r="B49" s="7">
        <f t="shared" si="0"/>
        <v>0.73771330903353483</v>
      </c>
    </row>
    <row r="50" spans="1:2" x14ac:dyDescent="0.25">
      <c r="A50" s="7">
        <v>538</v>
      </c>
      <c r="B50" s="7">
        <f t="shared" si="0"/>
        <v>0.7716686738745262</v>
      </c>
    </row>
    <row r="51" spans="1:2" x14ac:dyDescent="0.25">
      <c r="A51" s="7">
        <v>539</v>
      </c>
      <c r="B51" s="7">
        <f t="shared" si="0"/>
        <v>0.80428628283847392</v>
      </c>
    </row>
    <row r="52" spans="1:2" x14ac:dyDescent="0.25">
      <c r="A52" s="7">
        <v>540</v>
      </c>
      <c r="B52" s="7">
        <f t="shared" si="0"/>
        <v>0.835270211411272</v>
      </c>
    </row>
    <row r="53" spans="1:2" x14ac:dyDescent="0.25">
      <c r="A53" s="7">
        <v>541</v>
      </c>
      <c r="B53" s="7">
        <f t="shared" si="0"/>
        <v>0.86433055200958619</v>
      </c>
    </row>
    <row r="54" spans="1:2" x14ac:dyDescent="0.25">
      <c r="A54" s="7">
        <v>542</v>
      </c>
      <c r="B54" s="7">
        <f t="shared" si="0"/>
        <v>0.89118788850418451</v>
      </c>
    </row>
    <row r="55" spans="1:2" x14ac:dyDescent="0.25">
      <c r="A55" s="7">
        <v>543</v>
      </c>
      <c r="B55" s="7">
        <f t="shared" si="0"/>
        <v>0.91557774286197768</v>
      </c>
    </row>
    <row r="56" spans="1:2" x14ac:dyDescent="0.25">
      <c r="A56" s="7">
        <v>544</v>
      </c>
      <c r="B56" s="7">
        <f t="shared" si="0"/>
        <v>0.93725489561267772</v>
      </c>
    </row>
    <row r="57" spans="1:2" x14ac:dyDescent="0.25">
      <c r="A57" s="7">
        <v>545</v>
      </c>
      <c r="B57" s="7">
        <f t="shared" si="0"/>
        <v>0.95599748183309996</v>
      </c>
    </row>
    <row r="58" spans="1:2" x14ac:dyDescent="0.25">
      <c r="A58" s="7">
        <v>546</v>
      </c>
      <c r="B58" s="7">
        <f t="shared" si="0"/>
        <v>0.97161076718912276</v>
      </c>
    </row>
    <row r="59" spans="1:2" x14ac:dyDescent="0.25">
      <c r="A59" s="7">
        <v>547</v>
      </c>
      <c r="B59" s="7">
        <f t="shared" si="0"/>
        <v>0.98393051427250833</v>
      </c>
    </row>
    <row r="60" spans="1:2" x14ac:dyDescent="0.25">
      <c r="A60" s="7">
        <v>548</v>
      </c>
      <c r="B60" s="7">
        <f t="shared" si="0"/>
        <v>0.99282585790381339</v>
      </c>
    </row>
    <row r="61" spans="1:2" x14ac:dyDescent="0.25">
      <c r="A61" s="7">
        <v>549</v>
      </c>
      <c r="B61" s="7">
        <f t="shared" si="0"/>
        <v>0.99820161902843729</v>
      </c>
    </row>
    <row r="62" spans="1:2" x14ac:dyDescent="0.25">
      <c r="A62" s="7">
        <v>550</v>
      </c>
      <c r="B62" s="7">
        <f t="shared" si="0"/>
        <v>1</v>
      </c>
    </row>
    <row r="63" spans="1:2" x14ac:dyDescent="0.25">
      <c r="A63" s="7">
        <v>551</v>
      </c>
      <c r="B63" s="7">
        <f t="shared" si="0"/>
        <v>0.99820161902843729</v>
      </c>
    </row>
    <row r="64" spans="1:2" x14ac:dyDescent="0.25">
      <c r="A64" s="7">
        <v>552</v>
      </c>
      <c r="B64" s="7">
        <f t="shared" si="0"/>
        <v>0.99282585790381339</v>
      </c>
    </row>
    <row r="65" spans="1:2" x14ac:dyDescent="0.25">
      <c r="A65" s="7">
        <v>553</v>
      </c>
      <c r="B65" s="7">
        <f t="shared" si="0"/>
        <v>0.98393051427250833</v>
      </c>
    </row>
    <row r="66" spans="1:2" x14ac:dyDescent="0.25">
      <c r="A66" s="7">
        <v>554</v>
      </c>
      <c r="B66" s="7">
        <f t="shared" si="0"/>
        <v>0.97161076718912276</v>
      </c>
    </row>
    <row r="67" spans="1:2" x14ac:dyDescent="0.25">
      <c r="A67" s="7">
        <v>555</v>
      </c>
      <c r="B67" s="7">
        <f t="shared" ref="B67:B122" si="1">_xlfn.NORM.DIST(A67,$E$2,$E$3,FALSE)/_xlfn.NORM.DIST($E$2,$E$2,$E$3,FALSE)</f>
        <v>0.95599748183309996</v>
      </c>
    </row>
    <row r="68" spans="1:2" x14ac:dyDescent="0.25">
      <c r="A68" s="7">
        <v>556</v>
      </c>
      <c r="B68" s="7">
        <f t="shared" si="1"/>
        <v>0.93725489561267772</v>
      </c>
    </row>
    <row r="69" spans="1:2" x14ac:dyDescent="0.25">
      <c r="A69" s="7">
        <v>557</v>
      </c>
      <c r="B69" s="7">
        <f t="shared" si="1"/>
        <v>0.91557774286197768</v>
      </c>
    </row>
    <row r="70" spans="1:2" x14ac:dyDescent="0.25">
      <c r="A70" s="7">
        <v>558</v>
      </c>
      <c r="B70" s="7">
        <f t="shared" si="1"/>
        <v>0.89118788850418451</v>
      </c>
    </row>
    <row r="71" spans="1:2" x14ac:dyDescent="0.25">
      <c r="A71" s="7">
        <v>559</v>
      </c>
      <c r="B71" s="7">
        <f t="shared" si="1"/>
        <v>0.86433055200958619</v>
      </c>
    </row>
    <row r="72" spans="1:2" x14ac:dyDescent="0.25">
      <c r="A72" s="7">
        <v>560</v>
      </c>
      <c r="B72" s="7">
        <f t="shared" si="1"/>
        <v>0.835270211411272</v>
      </c>
    </row>
    <row r="73" spans="1:2" x14ac:dyDescent="0.25">
      <c r="A73" s="7">
        <v>561</v>
      </c>
      <c r="B73" s="7">
        <f t="shared" si="1"/>
        <v>0.80428628283847392</v>
      </c>
    </row>
    <row r="74" spans="1:2" x14ac:dyDescent="0.25">
      <c r="A74" s="7">
        <v>562</v>
      </c>
      <c r="B74" s="7">
        <f t="shared" si="1"/>
        <v>0.7716686738745262</v>
      </c>
    </row>
    <row r="75" spans="1:2" x14ac:dyDescent="0.25">
      <c r="A75" s="7">
        <v>563</v>
      </c>
      <c r="B75" s="7">
        <f t="shared" si="1"/>
        <v>0.73771330903353483</v>
      </c>
    </row>
    <row r="76" spans="1:2" x14ac:dyDescent="0.25">
      <c r="A76" s="7">
        <v>564</v>
      </c>
      <c r="B76" s="7">
        <f t="shared" si="1"/>
        <v>0.70271772286839773</v>
      </c>
    </row>
    <row r="77" spans="1:2" x14ac:dyDescent="0.25">
      <c r="A77" s="7">
        <v>565</v>
      </c>
      <c r="B77" s="7">
        <f t="shared" si="1"/>
        <v>0.66697681085847449</v>
      </c>
    </row>
    <row r="78" spans="1:2" x14ac:dyDescent="0.25">
      <c r="A78" s="7">
        <v>566</v>
      </c>
      <c r="B78" s="7">
        <f t="shared" si="1"/>
        <v>0.6307788205474284</v>
      </c>
    </row>
    <row r="79" spans="1:2" x14ac:dyDescent="0.25">
      <c r="A79" s="7">
        <v>567</v>
      </c>
      <c r="B79" s="7">
        <f t="shared" si="1"/>
        <v>0.59440165575021864</v>
      </c>
    </row>
    <row r="80" spans="1:2" x14ac:dyDescent="0.25">
      <c r="A80" s="7">
        <v>568</v>
      </c>
      <c r="B80" s="7">
        <f t="shared" si="1"/>
        <v>0.55810955541668272</v>
      </c>
    </row>
    <row r="81" spans="1:2" x14ac:dyDescent="0.25">
      <c r="A81" s="7">
        <v>569</v>
      </c>
      <c r="B81" s="7">
        <f t="shared" si="1"/>
        <v>0.52215019635797977</v>
      </c>
    </row>
    <row r="82" spans="1:2" x14ac:dyDescent="0.25">
      <c r="A82" s="7">
        <v>570</v>
      </c>
      <c r="B82" s="7">
        <f t="shared" si="1"/>
        <v>0.48675225595997168</v>
      </c>
    </row>
    <row r="83" spans="1:2" x14ac:dyDescent="0.25">
      <c r="A83" s="7">
        <v>571</v>
      </c>
      <c r="B83" s="7">
        <f t="shared" si="1"/>
        <v>0.45212345767308282</v>
      </c>
    </row>
    <row r="84" spans="1:2" x14ac:dyDescent="0.25">
      <c r="A84" s="7">
        <v>572</v>
      </c>
      <c r="B84" s="7">
        <f t="shared" si="1"/>
        <v>0.41844910891303544</v>
      </c>
    </row>
    <row r="85" spans="1:2" x14ac:dyDescent="0.25">
      <c r="A85" s="7">
        <v>573</v>
      </c>
      <c r="B85" s="7">
        <f t="shared" si="1"/>
        <v>0.38589112843021905</v>
      </c>
    </row>
    <row r="86" spans="1:2" x14ac:dyDescent="0.25">
      <c r="A86" s="7">
        <v>574</v>
      </c>
      <c r="B86" s="7">
        <f t="shared" si="1"/>
        <v>0.35458754856089897</v>
      </c>
    </row>
    <row r="87" spans="1:2" x14ac:dyDescent="0.25">
      <c r="A87" s="7">
        <v>575</v>
      </c>
      <c r="B87" s="7">
        <f t="shared" si="1"/>
        <v>0.32465246735834968</v>
      </c>
    </row>
    <row r="88" spans="1:2" x14ac:dyDescent="0.25">
      <c r="A88" s="7">
        <v>576</v>
      </c>
      <c r="B88" s="7">
        <f t="shared" si="1"/>
        <v>0.29617641665026678</v>
      </c>
    </row>
    <row r="89" spans="1:2" x14ac:dyDescent="0.25">
      <c r="A89" s="7">
        <v>577</v>
      </c>
      <c r="B89" s="7">
        <f t="shared" si="1"/>
        <v>0.26922710474659961</v>
      </c>
    </row>
    <row r="90" spans="1:2" x14ac:dyDescent="0.25">
      <c r="A90" s="7">
        <v>578</v>
      </c>
      <c r="B90" s="7">
        <f t="shared" si="1"/>
        <v>0.2438504869265247</v>
      </c>
    </row>
    <row r="91" spans="1:2" x14ac:dyDescent="0.25">
      <c r="A91" s="7">
        <v>579</v>
      </c>
      <c r="B91" s="7">
        <f t="shared" si="1"/>
        <v>0.22007211299479595</v>
      </c>
    </row>
    <row r="92" spans="1:2" x14ac:dyDescent="0.25">
      <c r="A92" s="7">
        <v>580</v>
      </c>
      <c r="B92" s="7">
        <f t="shared" si="1"/>
        <v>0.19789869908361474</v>
      </c>
    </row>
    <row r="93" spans="1:2" x14ac:dyDescent="0.25">
      <c r="A93" s="7">
        <v>581</v>
      </c>
      <c r="B93" s="7">
        <f t="shared" si="1"/>
        <v>0.17731987039779637</v>
      </c>
    </row>
    <row r="94" spans="1:2" x14ac:dyDescent="0.25">
      <c r="A94" s="7">
        <v>582</v>
      </c>
      <c r="B94" s="7">
        <f t="shared" si="1"/>
        <v>0.1583100226219388</v>
      </c>
    </row>
    <row r="95" spans="1:2" x14ac:dyDescent="0.25">
      <c r="A95" s="7">
        <v>583</v>
      </c>
      <c r="B95" s="7">
        <f t="shared" si="1"/>
        <v>0.14083025205384148</v>
      </c>
    </row>
    <row r="96" spans="1:2" x14ac:dyDescent="0.25">
      <c r="A96" s="7">
        <v>584</v>
      </c>
      <c r="B96" s="7">
        <f t="shared" si="1"/>
        <v>0.12483030799583289</v>
      </c>
    </row>
    <row r="97" spans="1:2" x14ac:dyDescent="0.25">
      <c r="A97" s="7">
        <v>585</v>
      </c>
      <c r="B97" s="7">
        <f t="shared" si="1"/>
        <v>0.11025052530448531</v>
      </c>
    </row>
    <row r="98" spans="1:2" x14ac:dyDescent="0.25">
      <c r="A98" s="7">
        <v>586</v>
      </c>
      <c r="B98" s="7">
        <f t="shared" si="1"/>
        <v>9.7023700041287075E-2</v>
      </c>
    </row>
    <row r="99" spans="1:2" x14ac:dyDescent="0.25">
      <c r="A99" s="7">
        <v>587</v>
      </c>
      <c r="B99" s="7">
        <f t="shared" si="1"/>
        <v>8.5076876655682046E-2</v>
      </c>
    </row>
    <row r="100" spans="1:2" x14ac:dyDescent="0.25">
      <c r="A100" s="7">
        <v>588</v>
      </c>
      <c r="B100" s="7">
        <f t="shared" si="1"/>
        <v>7.4333020850789674E-2</v>
      </c>
    </row>
    <row r="101" spans="1:2" x14ac:dyDescent="0.25">
      <c r="A101" s="7">
        <v>589</v>
      </c>
      <c r="B101" s="7">
        <f t="shared" si="1"/>
        <v>6.4712558031226858E-2</v>
      </c>
    </row>
    <row r="102" spans="1:2" x14ac:dyDescent="0.25">
      <c r="A102" s="7">
        <v>590</v>
      </c>
      <c r="B102" s="7">
        <f t="shared" si="1"/>
        <v>5.6134762834133725E-2</v>
      </c>
    </row>
    <row r="103" spans="1:2" x14ac:dyDescent="0.25">
      <c r="A103" s="7">
        <v>591</v>
      </c>
      <c r="B103" s="7">
        <f t="shared" si="1"/>
        <v>4.8518990547354E-2</v>
      </c>
    </row>
    <row r="104" spans="1:2" x14ac:dyDescent="0.25">
      <c r="A104" s="7">
        <v>592</v>
      </c>
      <c r="B104" s="7">
        <f t="shared" si="1"/>
        <v>4.1785746099929272E-2</v>
      </c>
    </row>
    <row r="105" spans="1:2" x14ac:dyDescent="0.25">
      <c r="A105" s="7">
        <v>593</v>
      </c>
      <c r="B105" s="7">
        <f t="shared" si="1"/>
        <v>3.5857590676413885E-2</v>
      </c>
    </row>
    <row r="106" spans="1:2" x14ac:dyDescent="0.25">
      <c r="A106" s="7">
        <v>594</v>
      </c>
      <c r="B106" s="7">
        <f t="shared" si="1"/>
        <v>3.0659889794007553E-2</v>
      </c>
    </row>
    <row r="107" spans="1:2" x14ac:dyDescent="0.25">
      <c r="A107" s="7">
        <v>595</v>
      </c>
      <c r="B107" s="7">
        <f t="shared" si="1"/>
        <v>2.6121409853918254E-2</v>
      </c>
    </row>
    <row r="108" spans="1:2" x14ac:dyDescent="0.25">
      <c r="A108" s="7">
        <v>596</v>
      </c>
      <c r="B108" s="7">
        <f t="shared" si="1"/>
        <v>2.2174772724855216E-2</v>
      </c>
    </row>
    <row r="109" spans="1:2" x14ac:dyDescent="0.25">
      <c r="A109" s="7">
        <v>597</v>
      </c>
      <c r="B109" s="7">
        <f t="shared" si="1"/>
        <v>1.875677984858105E-2</v>
      </c>
    </row>
    <row r="110" spans="1:2" x14ac:dyDescent="0.25">
      <c r="A110" s="7">
        <v>598</v>
      </c>
      <c r="B110" s="7">
        <f t="shared" si="1"/>
        <v>1.5808618705241848E-2</v>
      </c>
    </row>
    <row r="111" spans="1:2" x14ac:dyDescent="0.25">
      <c r="A111" s="7">
        <v>599</v>
      </c>
      <c r="B111" s="7">
        <f t="shared" si="1"/>
        <v>1.3275965284957046E-2</v>
      </c>
    </row>
    <row r="112" spans="1:2" x14ac:dyDescent="0.25">
      <c r="A112" s="7">
        <v>600</v>
      </c>
      <c r="B112" s="7">
        <f t="shared" si="1"/>
        <v>1.1108996538242306E-2</v>
      </c>
    </row>
    <row r="113" spans="1:2" x14ac:dyDescent="0.25">
      <c r="A113" s="7">
        <v>601</v>
      </c>
      <c r="B113" s="7">
        <f t="shared" si="1"/>
        <v>9.2623266850553852E-3</v>
      </c>
    </row>
    <row r="114" spans="1:2" x14ac:dyDescent="0.25">
      <c r="A114" s="7">
        <v>602</v>
      </c>
      <c r="B114" s="7">
        <f t="shared" si="1"/>
        <v>7.6948808183874848E-3</v>
      </c>
    </row>
    <row r="115" spans="1:2" x14ac:dyDescent="0.25">
      <c r="A115" s="7">
        <v>603</v>
      </c>
      <c r="B115" s="7">
        <f t="shared" si="1"/>
        <v>6.369718512085289E-3</v>
      </c>
    </row>
    <row r="116" spans="1:2" x14ac:dyDescent="0.25">
      <c r="A116" s="7">
        <v>604</v>
      </c>
      <c r="B116" s="7">
        <f t="shared" si="1"/>
        <v>5.2538192009853931E-3</v>
      </c>
    </row>
    <row r="117" spans="1:2" x14ac:dyDescent="0.25">
      <c r="A117" s="7">
        <v>605</v>
      </c>
      <c r="B117" s="7">
        <f t="shared" si="1"/>
        <v>4.3178400076330815E-3</v>
      </c>
    </row>
    <row r="118" spans="1:2" x14ac:dyDescent="0.25">
      <c r="A118" s="7">
        <v>606</v>
      </c>
      <c r="B118" s="7">
        <f t="shared" si="1"/>
        <v>3.5358555015075786E-3</v>
      </c>
    </row>
    <row r="119" spans="1:2" x14ac:dyDescent="0.25">
      <c r="A119" s="7">
        <v>607</v>
      </c>
      <c r="B119" s="7">
        <f t="shared" si="1"/>
        <v>2.8850876448099608E-3</v>
      </c>
    </row>
    <row r="120" spans="1:2" x14ac:dyDescent="0.25">
      <c r="A120" s="7">
        <v>608</v>
      </c>
      <c r="B120" s="7">
        <f t="shared" si="1"/>
        <v>2.3456329471668626E-3</v>
      </c>
    </row>
    <row r="121" spans="1:2" x14ac:dyDescent="0.25">
      <c r="A121" s="7">
        <v>609</v>
      </c>
      <c r="B121" s="7">
        <f t="shared" si="1"/>
        <v>1.9001926561053196E-3</v>
      </c>
    </row>
    <row r="122" spans="1:2" x14ac:dyDescent="0.25">
      <c r="A122" s="7">
        <v>610</v>
      </c>
      <c r="B122" s="7">
        <f t="shared" si="1"/>
        <v>1.5338106793244656E-3</v>
      </c>
    </row>
    <row r="123" spans="1:2" x14ac:dyDescent="0.25">
      <c r="A123" s="7"/>
      <c r="B123" s="7"/>
    </row>
    <row r="124" spans="1:2" x14ac:dyDescent="0.25">
      <c r="A124" s="7"/>
      <c r="B124" s="7"/>
    </row>
    <row r="125" spans="1:2" x14ac:dyDescent="0.25">
      <c r="A125" s="7"/>
      <c r="B125" s="7"/>
    </row>
    <row r="126" spans="1:2" x14ac:dyDescent="0.25">
      <c r="A126" s="7"/>
      <c r="B126" s="7"/>
    </row>
    <row r="127" spans="1:2" x14ac:dyDescent="0.25">
      <c r="A127" s="7"/>
      <c r="B127" s="7"/>
    </row>
    <row r="128" spans="1:2" x14ac:dyDescent="0.25">
      <c r="A128" s="7"/>
      <c r="B128" s="7"/>
    </row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</sheetData>
  <mergeCells count="1">
    <mergeCell ref="H30:L3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8"/>
  <sheetViews>
    <sheetView topLeftCell="A96" workbookViewId="0">
      <selection activeCell="A2" sqref="A2:A121"/>
    </sheetView>
  </sheetViews>
  <sheetFormatPr defaultRowHeight="15" x14ac:dyDescent="0.25"/>
  <cols>
    <col min="1" max="1" width="15.28515625" customWidth="1"/>
    <col min="2" max="2" width="11.7109375" customWidth="1"/>
    <col min="3" max="4" width="12.7109375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37</v>
      </c>
    </row>
    <row r="2" spans="1:4" x14ac:dyDescent="0.25">
      <c r="A2" s="11">
        <v>45231.020833333336</v>
      </c>
      <c r="B2">
        <v>20</v>
      </c>
      <c r="C2">
        <v>3</v>
      </c>
      <c r="D2">
        <v>7.5472881355932202</v>
      </c>
    </row>
    <row r="3" spans="1:4" x14ac:dyDescent="0.25">
      <c r="A3" s="11">
        <v>45231.0625</v>
      </c>
      <c r="B3">
        <v>20</v>
      </c>
      <c r="C3">
        <v>3</v>
      </c>
      <c r="D3">
        <v>6.1994999999999996</v>
      </c>
    </row>
    <row r="4" spans="1:4" x14ac:dyDescent="0.25">
      <c r="A4" s="11">
        <v>45231.104166666664</v>
      </c>
      <c r="B4">
        <v>20</v>
      </c>
      <c r="C4">
        <v>3</v>
      </c>
      <c r="D4">
        <v>5.76033333333333</v>
      </c>
    </row>
    <row r="5" spans="1:4" x14ac:dyDescent="0.25">
      <c r="A5" s="11">
        <v>45231.145833333336</v>
      </c>
      <c r="B5">
        <v>20</v>
      </c>
      <c r="C5">
        <v>3</v>
      </c>
      <c r="D5">
        <v>9.5333333333333297</v>
      </c>
    </row>
    <row r="6" spans="1:4" x14ac:dyDescent="0.25">
      <c r="A6" s="11">
        <v>45231.1875</v>
      </c>
      <c r="B6">
        <v>20</v>
      </c>
      <c r="C6">
        <v>3</v>
      </c>
      <c r="D6">
        <v>8.8761666666666592</v>
      </c>
    </row>
    <row r="7" spans="1:4" x14ac:dyDescent="0.25">
      <c r="A7" s="11">
        <v>45231.229166666664</v>
      </c>
      <c r="B7">
        <v>20</v>
      </c>
      <c r="C7">
        <v>3</v>
      </c>
      <c r="D7">
        <v>11.096833333333301</v>
      </c>
    </row>
    <row r="8" spans="1:4" x14ac:dyDescent="0.25">
      <c r="A8" s="11">
        <v>45231.270833333336</v>
      </c>
      <c r="B8">
        <v>20</v>
      </c>
      <c r="C8">
        <v>3</v>
      </c>
      <c r="D8">
        <v>10.8315</v>
      </c>
    </row>
    <row r="9" spans="1:4" x14ac:dyDescent="0.25">
      <c r="A9" s="11">
        <v>45231.3125</v>
      </c>
      <c r="B9">
        <v>20</v>
      </c>
      <c r="C9">
        <v>3</v>
      </c>
      <c r="D9">
        <v>8.3484999999999996</v>
      </c>
    </row>
    <row r="10" spans="1:4" x14ac:dyDescent="0.25">
      <c r="A10" s="11">
        <v>45231.354166666664</v>
      </c>
      <c r="B10">
        <v>20</v>
      </c>
      <c r="C10">
        <v>3</v>
      </c>
      <c r="D10">
        <v>9.1703333333333301</v>
      </c>
    </row>
    <row r="11" spans="1:4" x14ac:dyDescent="0.25">
      <c r="A11" s="11">
        <v>45231.395833333336</v>
      </c>
      <c r="B11">
        <v>20</v>
      </c>
      <c r="C11">
        <v>3</v>
      </c>
      <c r="D11">
        <v>17.063499999999902</v>
      </c>
    </row>
    <row r="12" spans="1:4" x14ac:dyDescent="0.25">
      <c r="A12" s="11">
        <v>45231.4375</v>
      </c>
      <c r="B12">
        <v>20</v>
      </c>
      <c r="C12">
        <v>3</v>
      </c>
      <c r="D12">
        <v>8.5163333333333302</v>
      </c>
    </row>
    <row r="13" spans="1:4" x14ac:dyDescent="0.25">
      <c r="A13" s="11">
        <v>45231.479166666664</v>
      </c>
      <c r="B13">
        <v>20</v>
      </c>
      <c r="C13">
        <v>3</v>
      </c>
      <c r="D13">
        <v>5.4161666666666601</v>
      </c>
    </row>
    <row r="14" spans="1:4" x14ac:dyDescent="0.25">
      <c r="A14" s="11">
        <v>45231.520833333336</v>
      </c>
      <c r="B14">
        <v>20</v>
      </c>
      <c r="C14">
        <v>3</v>
      </c>
      <c r="D14">
        <v>5.5293333333333301</v>
      </c>
    </row>
    <row r="15" spans="1:4" x14ac:dyDescent="0.25">
      <c r="A15" s="11">
        <v>45231.5625</v>
      </c>
      <c r="B15">
        <v>20</v>
      </c>
      <c r="C15">
        <v>3</v>
      </c>
      <c r="D15">
        <v>4.9831666666666603</v>
      </c>
    </row>
    <row r="16" spans="1:4" x14ac:dyDescent="0.25">
      <c r="A16" s="11">
        <v>45231.604166666664</v>
      </c>
      <c r="B16">
        <v>20</v>
      </c>
      <c r="C16">
        <v>3</v>
      </c>
      <c r="D16">
        <v>4.5661666666666596</v>
      </c>
    </row>
    <row r="17" spans="1:4" x14ac:dyDescent="0.25">
      <c r="A17" s="11">
        <v>45231.645833333336</v>
      </c>
      <c r="B17">
        <v>20</v>
      </c>
      <c r="C17">
        <v>3</v>
      </c>
      <c r="D17">
        <v>5.5378333333333298</v>
      </c>
    </row>
    <row r="18" spans="1:4" x14ac:dyDescent="0.25">
      <c r="A18" s="11">
        <v>45231.6875</v>
      </c>
      <c r="B18">
        <v>20</v>
      </c>
      <c r="C18">
        <v>3</v>
      </c>
      <c r="D18">
        <v>3.7805</v>
      </c>
    </row>
    <row r="19" spans="1:4" x14ac:dyDescent="0.25">
      <c r="A19" s="11">
        <v>45231.729166666664</v>
      </c>
      <c r="B19">
        <v>20</v>
      </c>
      <c r="C19">
        <v>3</v>
      </c>
      <c r="D19">
        <v>3.2408333333333301</v>
      </c>
    </row>
    <row r="20" spans="1:4" x14ac:dyDescent="0.25">
      <c r="A20" s="11">
        <v>45231.770833333336</v>
      </c>
      <c r="B20">
        <v>20</v>
      </c>
      <c r="C20">
        <v>3</v>
      </c>
      <c r="D20">
        <v>2.8699999999999899</v>
      </c>
    </row>
    <row r="21" spans="1:4" x14ac:dyDescent="0.25">
      <c r="A21" s="11">
        <v>45231.8125</v>
      </c>
      <c r="B21">
        <v>20</v>
      </c>
      <c r="C21">
        <v>3</v>
      </c>
      <c r="D21">
        <v>3.00783333333333</v>
      </c>
    </row>
    <row r="22" spans="1:4" x14ac:dyDescent="0.25">
      <c r="A22" s="11">
        <v>45231.854166666664</v>
      </c>
      <c r="B22">
        <v>20</v>
      </c>
      <c r="C22">
        <v>3</v>
      </c>
      <c r="D22">
        <v>3.0428333333333302</v>
      </c>
    </row>
    <row r="23" spans="1:4" x14ac:dyDescent="0.25">
      <c r="A23" s="11">
        <v>45231.895833333336</v>
      </c>
      <c r="B23">
        <v>20</v>
      </c>
      <c r="C23">
        <v>3</v>
      </c>
      <c r="D23">
        <v>13.078666666666599</v>
      </c>
    </row>
    <row r="24" spans="1:4" x14ac:dyDescent="0.25">
      <c r="A24" s="11">
        <v>45231.9375</v>
      </c>
      <c r="B24">
        <v>20</v>
      </c>
      <c r="C24">
        <v>3</v>
      </c>
      <c r="D24">
        <v>7.7938333333333301</v>
      </c>
    </row>
    <row r="25" spans="1:4" x14ac:dyDescent="0.25">
      <c r="A25" s="11">
        <v>45231.979166666664</v>
      </c>
      <c r="B25">
        <v>20</v>
      </c>
      <c r="C25">
        <v>3</v>
      </c>
      <c r="D25">
        <v>5.9136666666666597</v>
      </c>
    </row>
    <row r="26" spans="1:4" x14ac:dyDescent="0.25">
      <c r="A26" s="11">
        <v>45232.020833333336</v>
      </c>
      <c r="B26">
        <v>20</v>
      </c>
      <c r="C26">
        <v>3</v>
      </c>
      <c r="D26">
        <v>13.289166666666601</v>
      </c>
    </row>
    <row r="27" spans="1:4" x14ac:dyDescent="0.25">
      <c r="A27" s="11">
        <v>45232.0625</v>
      </c>
      <c r="B27">
        <v>20</v>
      </c>
      <c r="C27">
        <v>3</v>
      </c>
      <c r="D27">
        <v>8.4341666666666608</v>
      </c>
    </row>
    <row r="28" spans="1:4" x14ac:dyDescent="0.25">
      <c r="A28" s="11">
        <v>45232.104166666664</v>
      </c>
      <c r="B28">
        <v>20</v>
      </c>
      <c r="C28">
        <v>3</v>
      </c>
      <c r="D28">
        <v>6.758</v>
      </c>
    </row>
    <row r="29" spans="1:4" x14ac:dyDescent="0.25">
      <c r="A29" s="11">
        <v>45232.145833333336</v>
      </c>
      <c r="B29">
        <v>20</v>
      </c>
      <c r="C29">
        <v>3</v>
      </c>
      <c r="D29">
        <v>6.3261666666666603</v>
      </c>
    </row>
    <row r="30" spans="1:4" x14ac:dyDescent="0.25">
      <c r="A30" s="11">
        <v>45232.1875</v>
      </c>
      <c r="B30">
        <v>20</v>
      </c>
      <c r="C30">
        <v>3</v>
      </c>
      <c r="D30">
        <v>14.844499999999901</v>
      </c>
    </row>
    <row r="31" spans="1:4" x14ac:dyDescent="0.25">
      <c r="A31" s="11">
        <v>45232.229166666664</v>
      </c>
      <c r="B31">
        <v>20</v>
      </c>
      <c r="C31">
        <v>3</v>
      </c>
      <c r="D31">
        <v>19.421999999999901</v>
      </c>
    </row>
    <row r="32" spans="1:4" x14ac:dyDescent="0.25">
      <c r="A32" s="11">
        <v>45232.270833333336</v>
      </c>
      <c r="B32">
        <v>20</v>
      </c>
      <c r="C32">
        <v>3</v>
      </c>
      <c r="D32">
        <v>22.165333333333301</v>
      </c>
    </row>
    <row r="33" spans="1:4" x14ac:dyDescent="0.25">
      <c r="A33" s="11">
        <v>45232.3125</v>
      </c>
      <c r="B33">
        <v>20</v>
      </c>
      <c r="C33">
        <v>3</v>
      </c>
      <c r="D33">
        <v>20.342333333333301</v>
      </c>
    </row>
    <row r="34" spans="1:4" x14ac:dyDescent="0.25">
      <c r="A34" s="11">
        <v>45232.354166666664</v>
      </c>
      <c r="B34">
        <v>20</v>
      </c>
      <c r="C34">
        <v>3</v>
      </c>
      <c r="D34">
        <v>22.161833333333298</v>
      </c>
    </row>
    <row r="35" spans="1:4" x14ac:dyDescent="0.25">
      <c r="A35" s="11">
        <v>45232.395833333336</v>
      </c>
      <c r="B35">
        <v>20</v>
      </c>
      <c r="C35">
        <v>3</v>
      </c>
      <c r="D35">
        <v>12.467000000000001</v>
      </c>
    </row>
    <row r="36" spans="1:4" x14ac:dyDescent="0.25">
      <c r="A36" s="11">
        <v>45232.4375</v>
      </c>
      <c r="B36">
        <v>20</v>
      </c>
      <c r="C36">
        <v>3</v>
      </c>
      <c r="D36">
        <v>8.4793333333333294</v>
      </c>
    </row>
    <row r="37" spans="1:4" x14ac:dyDescent="0.25">
      <c r="A37" s="11">
        <v>45232.479166666664</v>
      </c>
      <c r="B37">
        <v>20</v>
      </c>
      <c r="C37">
        <v>3</v>
      </c>
      <c r="D37">
        <v>7.39</v>
      </c>
    </row>
    <row r="38" spans="1:4" x14ac:dyDescent="0.25">
      <c r="A38" s="11">
        <v>45232.520833333336</v>
      </c>
      <c r="B38">
        <v>20</v>
      </c>
      <c r="C38">
        <v>3</v>
      </c>
      <c r="D38">
        <v>9.9716666666666605</v>
      </c>
    </row>
    <row r="39" spans="1:4" x14ac:dyDescent="0.25">
      <c r="A39" s="11">
        <v>45232.5625</v>
      </c>
      <c r="B39">
        <v>20</v>
      </c>
      <c r="C39">
        <v>3</v>
      </c>
      <c r="D39">
        <v>7.1746666666666599</v>
      </c>
    </row>
    <row r="40" spans="1:4" x14ac:dyDescent="0.25">
      <c r="A40" s="11">
        <v>45232.604166666664</v>
      </c>
      <c r="B40">
        <v>20</v>
      </c>
      <c r="C40">
        <v>3</v>
      </c>
      <c r="D40">
        <v>2.7669999999999999</v>
      </c>
    </row>
    <row r="41" spans="1:4" x14ac:dyDescent="0.25">
      <c r="A41" s="11">
        <v>45232.645833333336</v>
      </c>
      <c r="B41">
        <v>20</v>
      </c>
      <c r="C41">
        <v>3</v>
      </c>
      <c r="D41">
        <v>2.9811666666666601</v>
      </c>
    </row>
    <row r="42" spans="1:4" x14ac:dyDescent="0.25">
      <c r="A42" s="11">
        <v>45232.6875</v>
      </c>
      <c r="B42">
        <v>20</v>
      </c>
      <c r="C42">
        <v>3</v>
      </c>
      <c r="D42">
        <v>6.3380000000000001</v>
      </c>
    </row>
    <row r="43" spans="1:4" x14ac:dyDescent="0.25">
      <c r="A43" s="11">
        <v>45232.729166666664</v>
      </c>
      <c r="B43">
        <v>20</v>
      </c>
      <c r="C43">
        <v>3</v>
      </c>
      <c r="D43">
        <v>2.0644999999999998</v>
      </c>
    </row>
    <row r="44" spans="1:4" x14ac:dyDescent="0.25">
      <c r="A44" s="11">
        <v>45232.770833333336</v>
      </c>
      <c r="B44">
        <v>20</v>
      </c>
      <c r="C44">
        <v>3</v>
      </c>
      <c r="D44">
        <v>2.4219999999999899</v>
      </c>
    </row>
    <row r="45" spans="1:4" x14ac:dyDescent="0.25">
      <c r="A45" s="11">
        <v>45232.8125</v>
      </c>
      <c r="B45">
        <v>20</v>
      </c>
      <c r="C45">
        <v>3</v>
      </c>
      <c r="D45">
        <v>2.46383333333333</v>
      </c>
    </row>
    <row r="46" spans="1:4" x14ac:dyDescent="0.25">
      <c r="A46" s="11">
        <v>45232.854166666664</v>
      </c>
      <c r="B46">
        <v>20</v>
      </c>
      <c r="C46">
        <v>3</v>
      </c>
      <c r="D46">
        <v>3.0106666666666602</v>
      </c>
    </row>
    <row r="47" spans="1:4" x14ac:dyDescent="0.25">
      <c r="A47" s="11">
        <v>45232.895833333336</v>
      </c>
      <c r="B47">
        <v>20</v>
      </c>
      <c r="C47">
        <v>3</v>
      </c>
      <c r="D47">
        <v>11.410500000000001</v>
      </c>
    </row>
    <row r="48" spans="1:4" x14ac:dyDescent="0.25">
      <c r="A48" s="11">
        <v>45232.9375</v>
      </c>
      <c r="B48">
        <v>20</v>
      </c>
      <c r="C48">
        <v>3</v>
      </c>
      <c r="D48">
        <v>4.2314999999999996</v>
      </c>
    </row>
    <row r="49" spans="1:4" x14ac:dyDescent="0.25">
      <c r="A49" s="11">
        <v>45232.979166666664</v>
      </c>
      <c r="B49">
        <v>20</v>
      </c>
      <c r="C49">
        <v>3</v>
      </c>
      <c r="D49">
        <v>4.64716666666666</v>
      </c>
    </row>
    <row r="50" spans="1:4" x14ac:dyDescent="0.25">
      <c r="A50" s="11">
        <v>45233.020833333336</v>
      </c>
      <c r="B50">
        <v>20</v>
      </c>
      <c r="C50">
        <v>3</v>
      </c>
      <c r="D50">
        <v>8.6886666666666592</v>
      </c>
    </row>
    <row r="51" spans="1:4" x14ac:dyDescent="0.25">
      <c r="A51" s="11">
        <v>45233.0625</v>
      </c>
      <c r="B51">
        <v>20</v>
      </c>
      <c r="C51">
        <v>3</v>
      </c>
      <c r="D51">
        <v>11.736666666666601</v>
      </c>
    </row>
    <row r="52" spans="1:4" x14ac:dyDescent="0.25">
      <c r="A52" s="11">
        <v>45233.104166666664</v>
      </c>
      <c r="B52">
        <v>20</v>
      </c>
      <c r="C52">
        <v>3</v>
      </c>
      <c r="D52">
        <v>9.7423333333333293</v>
      </c>
    </row>
    <row r="53" spans="1:4" x14ac:dyDescent="0.25">
      <c r="A53" s="11">
        <v>45233.145833333336</v>
      </c>
      <c r="B53">
        <v>20</v>
      </c>
      <c r="C53">
        <v>3</v>
      </c>
      <c r="D53">
        <v>6.5303333333333304</v>
      </c>
    </row>
    <row r="54" spans="1:4" x14ac:dyDescent="0.25">
      <c r="A54" s="11">
        <v>45233.1875</v>
      </c>
      <c r="B54">
        <v>20</v>
      </c>
      <c r="C54">
        <v>3</v>
      </c>
      <c r="D54">
        <v>8.5039999999999996</v>
      </c>
    </row>
    <row r="55" spans="1:4" x14ac:dyDescent="0.25">
      <c r="A55" s="11">
        <v>45233.229166666664</v>
      </c>
      <c r="B55">
        <v>20</v>
      </c>
      <c r="C55">
        <v>3</v>
      </c>
      <c r="D55">
        <v>38.524833333333298</v>
      </c>
    </row>
    <row r="56" spans="1:4" x14ac:dyDescent="0.25">
      <c r="A56" s="11">
        <v>45233.270833333336</v>
      </c>
      <c r="B56">
        <v>20</v>
      </c>
      <c r="C56">
        <v>3</v>
      </c>
      <c r="D56">
        <v>8.4603333333333293</v>
      </c>
    </row>
    <row r="57" spans="1:4" x14ac:dyDescent="0.25">
      <c r="A57" s="11">
        <v>45233.3125</v>
      </c>
      <c r="B57">
        <v>20</v>
      </c>
      <c r="C57">
        <v>3</v>
      </c>
      <c r="D57">
        <v>19.870999999999999</v>
      </c>
    </row>
    <row r="58" spans="1:4" x14ac:dyDescent="0.25">
      <c r="A58" s="11">
        <v>45233.354166666664</v>
      </c>
      <c r="B58">
        <v>20</v>
      </c>
      <c r="C58">
        <v>3</v>
      </c>
      <c r="D58">
        <v>18.768166666666598</v>
      </c>
    </row>
    <row r="59" spans="1:4" x14ac:dyDescent="0.25">
      <c r="A59" s="11">
        <v>45233.395833333336</v>
      </c>
      <c r="B59">
        <v>20</v>
      </c>
      <c r="C59">
        <v>3</v>
      </c>
      <c r="D59">
        <v>14.5076666666666</v>
      </c>
    </row>
    <row r="60" spans="1:4" x14ac:dyDescent="0.25">
      <c r="A60" s="11">
        <v>45233.4375</v>
      </c>
      <c r="B60">
        <v>20</v>
      </c>
      <c r="C60">
        <v>3</v>
      </c>
      <c r="D60">
        <v>10.053666666666601</v>
      </c>
    </row>
    <row r="61" spans="1:4" x14ac:dyDescent="0.25">
      <c r="A61" s="11">
        <v>45233.479166666664</v>
      </c>
      <c r="B61">
        <v>20</v>
      </c>
      <c r="C61">
        <v>3</v>
      </c>
      <c r="D61">
        <v>5.3118333333333299</v>
      </c>
    </row>
    <row r="62" spans="1:4" x14ac:dyDescent="0.25">
      <c r="A62" s="11">
        <v>45233.520833333336</v>
      </c>
      <c r="B62">
        <v>20</v>
      </c>
      <c r="C62">
        <v>3</v>
      </c>
      <c r="D62">
        <v>5.7301666666666602</v>
      </c>
    </row>
    <row r="63" spans="1:4" x14ac:dyDescent="0.25">
      <c r="A63" s="11">
        <v>45233.5625</v>
      </c>
      <c r="B63">
        <v>20</v>
      </c>
      <c r="C63">
        <v>3</v>
      </c>
      <c r="D63">
        <v>3.9713333333333298</v>
      </c>
    </row>
    <row r="64" spans="1:4" x14ac:dyDescent="0.25">
      <c r="A64" s="11">
        <v>45233.604166666664</v>
      </c>
      <c r="B64">
        <v>20</v>
      </c>
      <c r="C64">
        <v>3</v>
      </c>
      <c r="D64">
        <v>4.4048333333333298</v>
      </c>
    </row>
    <row r="65" spans="1:4" x14ac:dyDescent="0.25">
      <c r="A65" s="11">
        <v>45233.645833333336</v>
      </c>
      <c r="B65">
        <v>20</v>
      </c>
      <c r="C65">
        <v>3</v>
      </c>
      <c r="D65">
        <v>3.08233333333333</v>
      </c>
    </row>
    <row r="66" spans="1:4" x14ac:dyDescent="0.25">
      <c r="A66" s="11">
        <v>45233.6875</v>
      </c>
      <c r="B66">
        <v>20</v>
      </c>
      <c r="C66">
        <v>3</v>
      </c>
      <c r="D66">
        <v>4.2034999999999902</v>
      </c>
    </row>
    <row r="67" spans="1:4" x14ac:dyDescent="0.25">
      <c r="A67" s="11">
        <v>45233.729166666664</v>
      </c>
      <c r="B67">
        <v>20</v>
      </c>
      <c r="C67">
        <v>3</v>
      </c>
      <c r="D67">
        <v>11.0118333333333</v>
      </c>
    </row>
    <row r="68" spans="1:4" x14ac:dyDescent="0.25">
      <c r="A68" s="11">
        <v>45233.770833333336</v>
      </c>
      <c r="B68">
        <v>20</v>
      </c>
      <c r="C68">
        <v>3</v>
      </c>
      <c r="D68">
        <v>11.3811666666666</v>
      </c>
    </row>
    <row r="69" spans="1:4" x14ac:dyDescent="0.25">
      <c r="A69" s="11">
        <v>45233.8125</v>
      </c>
      <c r="B69">
        <v>20</v>
      </c>
      <c r="C69">
        <v>3</v>
      </c>
      <c r="D69">
        <v>3.25616666666666</v>
      </c>
    </row>
    <row r="70" spans="1:4" x14ac:dyDescent="0.25">
      <c r="A70" s="11">
        <v>45233.854166666664</v>
      </c>
      <c r="B70">
        <v>20</v>
      </c>
      <c r="C70">
        <v>3</v>
      </c>
      <c r="D70">
        <v>11.2983333333333</v>
      </c>
    </row>
    <row r="71" spans="1:4" x14ac:dyDescent="0.25">
      <c r="A71" s="11">
        <v>45233.895833333336</v>
      </c>
      <c r="B71">
        <v>20</v>
      </c>
      <c r="C71">
        <v>3</v>
      </c>
      <c r="D71">
        <v>22.893166666666598</v>
      </c>
    </row>
    <row r="72" spans="1:4" x14ac:dyDescent="0.25">
      <c r="A72" s="11">
        <v>45233.9375</v>
      </c>
      <c r="B72">
        <v>20</v>
      </c>
      <c r="C72">
        <v>3</v>
      </c>
      <c r="D72">
        <v>6.5761666666666603</v>
      </c>
    </row>
    <row r="73" spans="1:4" x14ac:dyDescent="0.25">
      <c r="A73" s="11">
        <v>45233.979166666664</v>
      </c>
      <c r="B73">
        <v>20</v>
      </c>
      <c r="C73">
        <v>3</v>
      </c>
      <c r="D73">
        <v>3.1661666666666601</v>
      </c>
    </row>
    <row r="74" spans="1:4" x14ac:dyDescent="0.25">
      <c r="A74" s="11">
        <v>45234.020833333336</v>
      </c>
      <c r="B74">
        <v>20</v>
      </c>
      <c r="C74">
        <v>3</v>
      </c>
      <c r="D74">
        <v>8.9670000000000005</v>
      </c>
    </row>
    <row r="75" spans="1:4" x14ac:dyDescent="0.25">
      <c r="A75" s="11">
        <v>45234.0625</v>
      </c>
      <c r="B75">
        <v>20</v>
      </c>
      <c r="C75">
        <v>3</v>
      </c>
      <c r="D75">
        <v>8.8373333333333299</v>
      </c>
    </row>
    <row r="76" spans="1:4" x14ac:dyDescent="0.25">
      <c r="A76" s="11">
        <v>45234.104166666664</v>
      </c>
      <c r="B76">
        <v>20</v>
      </c>
      <c r="C76">
        <v>3</v>
      </c>
      <c r="D76">
        <v>12.2125</v>
      </c>
    </row>
    <row r="77" spans="1:4" x14ac:dyDescent="0.25">
      <c r="A77" s="11">
        <v>45234.145833333336</v>
      </c>
      <c r="B77">
        <v>20</v>
      </c>
      <c r="C77">
        <v>3</v>
      </c>
      <c r="D77">
        <v>9.0990000000000002</v>
      </c>
    </row>
    <row r="78" spans="1:4" x14ac:dyDescent="0.25">
      <c r="A78" s="11">
        <v>45234.1875</v>
      </c>
      <c r="B78">
        <v>20</v>
      </c>
      <c r="C78">
        <v>3</v>
      </c>
      <c r="D78">
        <v>6.9114999999999904</v>
      </c>
    </row>
    <row r="79" spans="1:4" x14ac:dyDescent="0.25">
      <c r="A79" s="11">
        <v>45234.229166666664</v>
      </c>
      <c r="B79">
        <v>20</v>
      </c>
      <c r="C79">
        <v>3</v>
      </c>
      <c r="D79">
        <v>5.7574999999999896</v>
      </c>
    </row>
    <row r="80" spans="1:4" x14ac:dyDescent="0.25">
      <c r="A80" s="11">
        <v>45234.270833333336</v>
      </c>
      <c r="B80">
        <v>20</v>
      </c>
      <c r="C80">
        <v>3</v>
      </c>
      <c r="D80">
        <v>8.4378333333333302</v>
      </c>
    </row>
    <row r="81" spans="1:4" x14ac:dyDescent="0.25">
      <c r="A81" s="11">
        <v>45234.3125</v>
      </c>
      <c r="B81">
        <v>20</v>
      </c>
      <c r="C81">
        <v>3</v>
      </c>
      <c r="D81">
        <v>19.567</v>
      </c>
    </row>
    <row r="82" spans="1:4" x14ac:dyDescent="0.25">
      <c r="A82" s="11">
        <v>45234.354166666664</v>
      </c>
      <c r="B82">
        <v>20</v>
      </c>
      <c r="C82">
        <v>3</v>
      </c>
      <c r="D82">
        <v>14.5129999999999</v>
      </c>
    </row>
    <row r="83" spans="1:4" x14ac:dyDescent="0.25">
      <c r="A83" s="11">
        <v>45234.395833333336</v>
      </c>
      <c r="B83">
        <v>20</v>
      </c>
      <c r="C83">
        <v>3</v>
      </c>
      <c r="D83">
        <v>16.163833333333301</v>
      </c>
    </row>
    <row r="84" spans="1:4" x14ac:dyDescent="0.25">
      <c r="A84" s="11">
        <v>45234.4375</v>
      </c>
      <c r="B84">
        <v>20</v>
      </c>
      <c r="C84">
        <v>3</v>
      </c>
      <c r="D84">
        <v>9.9113333333333298</v>
      </c>
    </row>
    <row r="85" spans="1:4" x14ac:dyDescent="0.25">
      <c r="A85" s="11">
        <v>45234.479166666664</v>
      </c>
      <c r="B85">
        <v>20</v>
      </c>
      <c r="C85">
        <v>3</v>
      </c>
      <c r="D85">
        <v>7.4461666666666604</v>
      </c>
    </row>
    <row r="86" spans="1:4" x14ac:dyDescent="0.25">
      <c r="A86" s="11">
        <v>45234.520833333336</v>
      </c>
      <c r="B86">
        <v>20</v>
      </c>
      <c r="C86">
        <v>3</v>
      </c>
      <c r="D86">
        <v>6.2251666666666603</v>
      </c>
    </row>
    <row r="87" spans="1:4" x14ac:dyDescent="0.25">
      <c r="A87" s="11">
        <v>45234.5625</v>
      </c>
      <c r="B87">
        <v>20</v>
      </c>
      <c r="C87">
        <v>3</v>
      </c>
      <c r="D87">
        <v>4.1119999999999903</v>
      </c>
    </row>
    <row r="88" spans="1:4" x14ac:dyDescent="0.25">
      <c r="A88" s="11">
        <v>45234.604166666664</v>
      </c>
      <c r="B88">
        <v>20</v>
      </c>
      <c r="C88">
        <v>3</v>
      </c>
      <c r="D88">
        <v>4.6886666666666601</v>
      </c>
    </row>
    <row r="89" spans="1:4" x14ac:dyDescent="0.25">
      <c r="A89" s="11">
        <v>45234.645833333336</v>
      </c>
      <c r="B89">
        <v>20</v>
      </c>
      <c r="C89">
        <v>3</v>
      </c>
      <c r="D89">
        <v>4.3451666666666604</v>
      </c>
    </row>
    <row r="90" spans="1:4" x14ac:dyDescent="0.25">
      <c r="A90" s="11">
        <v>45234.6875</v>
      </c>
      <c r="B90">
        <v>20</v>
      </c>
      <c r="C90">
        <v>3</v>
      </c>
      <c r="D90">
        <v>2.9853333333333301</v>
      </c>
    </row>
    <row r="91" spans="1:4" x14ac:dyDescent="0.25">
      <c r="A91" s="11">
        <v>45234.729166666664</v>
      </c>
      <c r="B91">
        <v>20</v>
      </c>
      <c r="C91">
        <v>3</v>
      </c>
      <c r="D91">
        <v>2.52849999999999</v>
      </c>
    </row>
    <row r="92" spans="1:4" x14ac:dyDescent="0.25">
      <c r="A92" s="11">
        <v>45234.770833333336</v>
      </c>
      <c r="B92">
        <v>20</v>
      </c>
      <c r="C92">
        <v>3</v>
      </c>
      <c r="D92">
        <v>2.7770000000000001</v>
      </c>
    </row>
    <row r="93" spans="1:4" x14ac:dyDescent="0.25">
      <c r="A93" s="11">
        <v>45234.8125</v>
      </c>
      <c r="B93">
        <v>20</v>
      </c>
      <c r="C93">
        <v>3</v>
      </c>
      <c r="D93">
        <v>25.501999999999899</v>
      </c>
    </row>
    <row r="94" spans="1:4" x14ac:dyDescent="0.25">
      <c r="A94" s="11">
        <v>45234.854166666664</v>
      </c>
      <c r="B94">
        <v>20</v>
      </c>
      <c r="C94">
        <v>3</v>
      </c>
      <c r="D94">
        <v>4.8014999999999999</v>
      </c>
    </row>
    <row r="95" spans="1:4" x14ac:dyDescent="0.25">
      <c r="A95" s="11">
        <v>45234.895833333336</v>
      </c>
      <c r="B95">
        <v>20</v>
      </c>
      <c r="C95">
        <v>3</v>
      </c>
      <c r="D95">
        <v>16.270999999999901</v>
      </c>
    </row>
    <row r="96" spans="1:4" x14ac:dyDescent="0.25">
      <c r="A96" s="11">
        <v>45234.9375</v>
      </c>
      <c r="B96">
        <v>20</v>
      </c>
      <c r="C96">
        <v>3</v>
      </c>
      <c r="D96">
        <v>8.78816666666666</v>
      </c>
    </row>
    <row r="97" spans="1:4" x14ac:dyDescent="0.25">
      <c r="A97" s="11">
        <v>45234.979166666664</v>
      </c>
      <c r="B97">
        <v>20</v>
      </c>
      <c r="C97">
        <v>3</v>
      </c>
      <c r="D97">
        <v>5.9578333333333298</v>
      </c>
    </row>
    <row r="98" spans="1:4" x14ac:dyDescent="0.25">
      <c r="A98" s="11">
        <v>45235.020833333336</v>
      </c>
      <c r="B98">
        <v>20</v>
      </c>
      <c r="C98">
        <v>3</v>
      </c>
      <c r="D98">
        <v>10.3375</v>
      </c>
    </row>
    <row r="99" spans="1:4" x14ac:dyDescent="0.25">
      <c r="A99" s="11">
        <v>45235.0625</v>
      </c>
      <c r="B99">
        <v>20</v>
      </c>
      <c r="C99">
        <v>3</v>
      </c>
      <c r="D99">
        <v>13.911166666666601</v>
      </c>
    </row>
    <row r="100" spans="1:4" x14ac:dyDescent="0.25">
      <c r="A100" s="11">
        <v>45235.104166666664</v>
      </c>
      <c r="B100">
        <v>20</v>
      </c>
      <c r="C100">
        <v>3</v>
      </c>
      <c r="D100">
        <v>4.8333333333333304</v>
      </c>
    </row>
    <row r="101" spans="1:4" x14ac:dyDescent="0.25">
      <c r="A101" s="11">
        <v>45235.145833333336</v>
      </c>
      <c r="B101">
        <v>20</v>
      </c>
      <c r="C101">
        <v>3</v>
      </c>
      <c r="D101">
        <v>4.3604999999999903</v>
      </c>
    </row>
    <row r="102" spans="1:4" x14ac:dyDescent="0.25">
      <c r="A102" s="11">
        <v>45235.1875</v>
      </c>
      <c r="B102">
        <v>20</v>
      </c>
      <c r="C102">
        <v>3</v>
      </c>
      <c r="D102">
        <v>7.3008333333333297</v>
      </c>
    </row>
    <row r="103" spans="1:4" x14ac:dyDescent="0.25">
      <c r="A103" s="11">
        <v>45235.229166666664</v>
      </c>
      <c r="B103">
        <v>20</v>
      </c>
      <c r="C103">
        <v>3</v>
      </c>
      <c r="D103">
        <v>9.5640000000000001</v>
      </c>
    </row>
    <row r="104" spans="1:4" x14ac:dyDescent="0.25">
      <c r="A104" s="11">
        <v>45235.270833333336</v>
      </c>
      <c r="B104">
        <v>20</v>
      </c>
      <c r="C104">
        <v>3</v>
      </c>
      <c r="D104">
        <v>26.2321666666666</v>
      </c>
    </row>
    <row r="105" spans="1:4" x14ac:dyDescent="0.25">
      <c r="A105" s="11">
        <v>45235.3125</v>
      </c>
      <c r="B105">
        <v>20</v>
      </c>
      <c r="C105">
        <v>3</v>
      </c>
      <c r="D105">
        <v>22.144666666666598</v>
      </c>
    </row>
    <row r="106" spans="1:4" x14ac:dyDescent="0.25">
      <c r="A106" s="11">
        <v>45235.354166666664</v>
      </c>
      <c r="B106">
        <v>20</v>
      </c>
      <c r="C106">
        <v>3</v>
      </c>
      <c r="D106">
        <v>15.672666666666601</v>
      </c>
    </row>
    <row r="107" spans="1:4" x14ac:dyDescent="0.25">
      <c r="A107" s="11">
        <v>45235.395833333336</v>
      </c>
      <c r="B107">
        <v>20</v>
      </c>
      <c r="C107">
        <v>3</v>
      </c>
      <c r="D107">
        <v>13.8518333333333</v>
      </c>
    </row>
    <row r="108" spans="1:4" x14ac:dyDescent="0.25">
      <c r="A108" s="11">
        <v>45235.4375</v>
      </c>
      <c r="B108">
        <v>20</v>
      </c>
      <c r="C108">
        <v>3</v>
      </c>
      <c r="D108">
        <v>12.0446666666666</v>
      </c>
    </row>
    <row r="109" spans="1:4" x14ac:dyDescent="0.25">
      <c r="A109" s="11">
        <v>45235.479166666664</v>
      </c>
      <c r="B109">
        <v>20</v>
      </c>
      <c r="C109">
        <v>3</v>
      </c>
      <c r="D109">
        <v>7.7433333333333296</v>
      </c>
    </row>
    <row r="110" spans="1:4" x14ac:dyDescent="0.25">
      <c r="A110" s="11">
        <v>45235.520833333336</v>
      </c>
      <c r="B110">
        <v>20</v>
      </c>
      <c r="C110">
        <v>3</v>
      </c>
      <c r="D110">
        <v>7.3556666666666599</v>
      </c>
    </row>
    <row r="111" spans="1:4" x14ac:dyDescent="0.25">
      <c r="A111" s="11">
        <v>45235.5625</v>
      </c>
      <c r="B111">
        <v>20</v>
      </c>
      <c r="C111">
        <v>3</v>
      </c>
      <c r="D111">
        <v>5.4806666666666599</v>
      </c>
    </row>
    <row r="112" spans="1:4" x14ac:dyDescent="0.25">
      <c r="A112" s="11">
        <v>45235.604166666664</v>
      </c>
      <c r="B112">
        <v>20</v>
      </c>
      <c r="C112">
        <v>3</v>
      </c>
      <c r="D112">
        <v>6.4303333333333299</v>
      </c>
    </row>
    <row r="113" spans="1:4" x14ac:dyDescent="0.25">
      <c r="A113" s="11">
        <v>45235.645833333336</v>
      </c>
      <c r="B113">
        <v>20</v>
      </c>
      <c r="C113">
        <v>3</v>
      </c>
      <c r="D113">
        <v>5.3143333333333302</v>
      </c>
    </row>
    <row r="114" spans="1:4" x14ac:dyDescent="0.25">
      <c r="A114" s="11">
        <v>45235.6875</v>
      </c>
      <c r="B114">
        <v>20</v>
      </c>
      <c r="C114">
        <v>3</v>
      </c>
      <c r="D114">
        <v>4.1260000000000003</v>
      </c>
    </row>
    <row r="115" spans="1:4" x14ac:dyDescent="0.25">
      <c r="A115" s="11">
        <v>45235.729166666664</v>
      </c>
      <c r="B115">
        <v>20</v>
      </c>
      <c r="C115">
        <v>3</v>
      </c>
      <c r="D115">
        <v>16.324999999999999</v>
      </c>
    </row>
    <row r="116" spans="1:4" x14ac:dyDescent="0.25">
      <c r="A116" s="11">
        <v>45235.770833333336</v>
      </c>
      <c r="B116">
        <v>20</v>
      </c>
      <c r="C116">
        <v>3</v>
      </c>
      <c r="D116">
        <v>6.7726666666666597</v>
      </c>
    </row>
    <row r="117" spans="1:4" x14ac:dyDescent="0.25">
      <c r="A117" s="11">
        <v>45235.8125</v>
      </c>
      <c r="B117">
        <v>20</v>
      </c>
      <c r="C117">
        <v>3</v>
      </c>
      <c r="D117">
        <v>4.7755000000000001</v>
      </c>
    </row>
    <row r="118" spans="1:4" x14ac:dyDescent="0.25">
      <c r="A118" s="11">
        <v>45235.854166666664</v>
      </c>
      <c r="B118">
        <v>20</v>
      </c>
      <c r="C118">
        <v>3</v>
      </c>
      <c r="D118">
        <v>14.010999999999999</v>
      </c>
    </row>
    <row r="119" spans="1:4" x14ac:dyDescent="0.25">
      <c r="A119" s="11">
        <v>45235.895833333336</v>
      </c>
      <c r="B119">
        <v>20</v>
      </c>
      <c r="C119">
        <v>3</v>
      </c>
      <c r="D119">
        <v>11.0878333333333</v>
      </c>
    </row>
    <row r="120" spans="1:4" x14ac:dyDescent="0.25">
      <c r="A120" s="11">
        <v>45235.9375</v>
      </c>
      <c r="B120">
        <v>20</v>
      </c>
      <c r="C120">
        <v>3</v>
      </c>
      <c r="D120">
        <v>4.7623333333333298</v>
      </c>
    </row>
    <row r="121" spans="1:4" x14ac:dyDescent="0.25">
      <c r="A121" s="11">
        <v>45235.979166666664</v>
      </c>
      <c r="B121">
        <v>20</v>
      </c>
      <c r="C121">
        <v>3</v>
      </c>
      <c r="D121">
        <v>4.4172881355932203</v>
      </c>
    </row>
    <row r="122" spans="1:4" x14ac:dyDescent="0.25">
      <c r="A122" s="11"/>
    </row>
    <row r="123" spans="1:4" x14ac:dyDescent="0.25">
      <c r="A123" s="11"/>
    </row>
    <row r="124" spans="1:4" x14ac:dyDescent="0.25">
      <c r="A124" s="11"/>
    </row>
    <row r="125" spans="1:4" x14ac:dyDescent="0.25">
      <c r="A125" s="11"/>
    </row>
    <row r="126" spans="1:4" x14ac:dyDescent="0.25">
      <c r="A126" s="11"/>
    </row>
    <row r="127" spans="1:4" x14ac:dyDescent="0.25">
      <c r="A127" s="11"/>
    </row>
    <row r="128" spans="1:4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  <row r="367" spans="1:1" x14ac:dyDescent="0.25">
      <c r="A367" s="11"/>
    </row>
    <row r="368" spans="1:1" x14ac:dyDescent="0.25">
      <c r="A368" s="11"/>
    </row>
    <row r="369" spans="1:1" x14ac:dyDescent="0.25">
      <c r="A369" s="11"/>
    </row>
    <row r="370" spans="1:1" x14ac:dyDescent="0.25">
      <c r="A370" s="11"/>
    </row>
    <row r="371" spans="1:1" x14ac:dyDescent="0.25">
      <c r="A371" s="11"/>
    </row>
    <row r="372" spans="1:1" x14ac:dyDescent="0.25">
      <c r="A372" s="11"/>
    </row>
    <row r="373" spans="1:1" x14ac:dyDescent="0.25">
      <c r="A373" s="11"/>
    </row>
    <row r="374" spans="1:1" x14ac:dyDescent="0.25">
      <c r="A374" s="11"/>
    </row>
    <row r="375" spans="1:1" x14ac:dyDescent="0.25">
      <c r="A375" s="11"/>
    </row>
    <row r="376" spans="1:1" x14ac:dyDescent="0.25">
      <c r="A376" s="11"/>
    </row>
    <row r="377" spans="1:1" x14ac:dyDescent="0.25">
      <c r="A377" s="11"/>
    </row>
    <row r="378" spans="1:1" x14ac:dyDescent="0.25">
      <c r="A378" s="11"/>
    </row>
    <row r="379" spans="1:1" x14ac:dyDescent="0.25">
      <c r="A379" s="11"/>
    </row>
    <row r="380" spans="1:1" x14ac:dyDescent="0.25">
      <c r="A380" s="11"/>
    </row>
    <row r="381" spans="1:1" x14ac:dyDescent="0.25">
      <c r="A381" s="11"/>
    </row>
    <row r="382" spans="1:1" x14ac:dyDescent="0.25">
      <c r="A382" s="11"/>
    </row>
    <row r="383" spans="1:1" x14ac:dyDescent="0.25">
      <c r="A383" s="11"/>
    </row>
    <row r="384" spans="1:1" x14ac:dyDescent="0.25">
      <c r="A384" s="11"/>
    </row>
    <row r="385" spans="1:1" x14ac:dyDescent="0.25">
      <c r="A385" s="11"/>
    </row>
    <row r="386" spans="1:1" x14ac:dyDescent="0.25">
      <c r="A386" s="11"/>
    </row>
    <row r="387" spans="1:1" x14ac:dyDescent="0.25">
      <c r="A387" s="11"/>
    </row>
    <row r="388" spans="1:1" x14ac:dyDescent="0.25">
      <c r="A388" s="11"/>
    </row>
    <row r="389" spans="1:1" x14ac:dyDescent="0.25">
      <c r="A389" s="11"/>
    </row>
    <row r="390" spans="1:1" x14ac:dyDescent="0.25">
      <c r="A390" s="11"/>
    </row>
    <row r="391" spans="1:1" x14ac:dyDescent="0.25">
      <c r="A391" s="11"/>
    </row>
    <row r="392" spans="1:1" x14ac:dyDescent="0.25">
      <c r="A392" s="11"/>
    </row>
    <row r="393" spans="1:1" x14ac:dyDescent="0.25">
      <c r="A393" s="11"/>
    </row>
    <row r="394" spans="1:1" x14ac:dyDescent="0.25">
      <c r="A394" s="11"/>
    </row>
    <row r="395" spans="1:1" x14ac:dyDescent="0.25">
      <c r="A395" s="11"/>
    </row>
    <row r="396" spans="1:1" x14ac:dyDescent="0.25">
      <c r="A396" s="11"/>
    </row>
    <row r="397" spans="1:1" x14ac:dyDescent="0.25">
      <c r="A397" s="11"/>
    </row>
    <row r="398" spans="1:1" x14ac:dyDescent="0.25">
      <c r="A398" s="11"/>
    </row>
    <row r="399" spans="1:1" x14ac:dyDescent="0.25">
      <c r="A399" s="11"/>
    </row>
    <row r="400" spans="1:1" x14ac:dyDescent="0.25">
      <c r="A400" s="11"/>
    </row>
    <row r="401" spans="1:1" x14ac:dyDescent="0.25">
      <c r="A401" s="11"/>
    </row>
    <row r="402" spans="1:1" x14ac:dyDescent="0.25">
      <c r="A402" s="11"/>
    </row>
    <row r="403" spans="1:1" x14ac:dyDescent="0.25">
      <c r="A403" s="11"/>
    </row>
    <row r="404" spans="1:1" x14ac:dyDescent="0.25">
      <c r="A404" s="11"/>
    </row>
    <row r="405" spans="1:1" x14ac:dyDescent="0.25">
      <c r="A405" s="11"/>
    </row>
    <row r="406" spans="1:1" x14ac:dyDescent="0.25">
      <c r="A406" s="11"/>
    </row>
    <row r="407" spans="1:1" x14ac:dyDescent="0.25">
      <c r="A407" s="11"/>
    </row>
    <row r="408" spans="1:1" x14ac:dyDescent="0.25">
      <c r="A408" s="11"/>
    </row>
    <row r="409" spans="1:1" x14ac:dyDescent="0.25">
      <c r="A409" s="11"/>
    </row>
    <row r="410" spans="1:1" x14ac:dyDescent="0.25">
      <c r="A410" s="11"/>
    </row>
    <row r="411" spans="1:1" x14ac:dyDescent="0.25">
      <c r="A411" s="11"/>
    </row>
    <row r="412" spans="1:1" x14ac:dyDescent="0.25">
      <c r="A412" s="11"/>
    </row>
    <row r="413" spans="1:1" x14ac:dyDescent="0.25">
      <c r="A413" s="11"/>
    </row>
    <row r="414" spans="1:1" x14ac:dyDescent="0.25">
      <c r="A414" s="11"/>
    </row>
    <row r="415" spans="1:1" x14ac:dyDescent="0.25">
      <c r="A415" s="11"/>
    </row>
    <row r="416" spans="1:1" x14ac:dyDescent="0.25">
      <c r="A416" s="11"/>
    </row>
    <row r="417" spans="1:1" x14ac:dyDescent="0.25">
      <c r="A417" s="11"/>
    </row>
    <row r="418" spans="1:1" x14ac:dyDescent="0.25">
      <c r="A418" s="11"/>
    </row>
    <row r="419" spans="1:1" x14ac:dyDescent="0.25">
      <c r="A419" s="11"/>
    </row>
    <row r="420" spans="1:1" x14ac:dyDescent="0.25">
      <c r="A420" s="11"/>
    </row>
    <row r="421" spans="1:1" x14ac:dyDescent="0.25">
      <c r="A421" s="11"/>
    </row>
    <row r="422" spans="1:1" x14ac:dyDescent="0.25">
      <c r="A422" s="11"/>
    </row>
    <row r="423" spans="1:1" x14ac:dyDescent="0.25">
      <c r="A423" s="11"/>
    </row>
    <row r="424" spans="1:1" x14ac:dyDescent="0.25">
      <c r="A424" s="11"/>
    </row>
    <row r="425" spans="1:1" x14ac:dyDescent="0.25">
      <c r="A425" s="11"/>
    </row>
    <row r="426" spans="1:1" x14ac:dyDescent="0.25">
      <c r="A426" s="11"/>
    </row>
    <row r="427" spans="1:1" x14ac:dyDescent="0.25">
      <c r="A427" s="11"/>
    </row>
    <row r="428" spans="1:1" x14ac:dyDescent="0.25">
      <c r="A428" s="11"/>
    </row>
    <row r="429" spans="1:1" x14ac:dyDescent="0.25">
      <c r="A429" s="11"/>
    </row>
    <row r="430" spans="1:1" x14ac:dyDescent="0.25">
      <c r="A430" s="11"/>
    </row>
    <row r="431" spans="1:1" x14ac:dyDescent="0.25">
      <c r="A431" s="11"/>
    </row>
    <row r="432" spans="1:1" x14ac:dyDescent="0.25">
      <c r="A432" s="11"/>
    </row>
    <row r="433" spans="1:1" x14ac:dyDescent="0.25">
      <c r="A433" s="11"/>
    </row>
    <row r="434" spans="1:1" x14ac:dyDescent="0.25">
      <c r="A434" s="11"/>
    </row>
    <row r="435" spans="1:1" x14ac:dyDescent="0.25">
      <c r="A435" s="11"/>
    </row>
    <row r="436" spans="1:1" x14ac:dyDescent="0.25">
      <c r="A436" s="11"/>
    </row>
    <row r="437" spans="1:1" x14ac:dyDescent="0.25">
      <c r="A437" s="11"/>
    </row>
    <row r="438" spans="1:1" x14ac:dyDescent="0.25">
      <c r="A438" s="11"/>
    </row>
    <row r="439" spans="1:1" x14ac:dyDescent="0.25">
      <c r="A439" s="11"/>
    </row>
    <row r="440" spans="1:1" x14ac:dyDescent="0.25">
      <c r="A440" s="11"/>
    </row>
    <row r="441" spans="1:1" x14ac:dyDescent="0.25">
      <c r="A441" s="11"/>
    </row>
    <row r="442" spans="1:1" x14ac:dyDescent="0.25">
      <c r="A442" s="11"/>
    </row>
    <row r="443" spans="1:1" x14ac:dyDescent="0.25">
      <c r="A443" s="11"/>
    </row>
    <row r="444" spans="1:1" x14ac:dyDescent="0.25">
      <c r="A444" s="11"/>
    </row>
    <row r="445" spans="1:1" x14ac:dyDescent="0.25">
      <c r="A445" s="11"/>
    </row>
    <row r="446" spans="1:1" x14ac:dyDescent="0.25">
      <c r="A446" s="11"/>
    </row>
    <row r="447" spans="1:1" x14ac:dyDescent="0.25">
      <c r="A447" s="11"/>
    </row>
    <row r="448" spans="1:1" x14ac:dyDescent="0.25">
      <c r="A448" s="11"/>
    </row>
    <row r="449" spans="1:1" x14ac:dyDescent="0.25">
      <c r="A449" s="11"/>
    </row>
    <row r="450" spans="1:1" x14ac:dyDescent="0.25">
      <c r="A450" s="11"/>
    </row>
    <row r="451" spans="1:1" x14ac:dyDescent="0.25">
      <c r="A451" s="11"/>
    </row>
    <row r="452" spans="1:1" x14ac:dyDescent="0.25">
      <c r="A452" s="11"/>
    </row>
    <row r="453" spans="1:1" x14ac:dyDescent="0.25">
      <c r="A453" s="11"/>
    </row>
    <row r="454" spans="1:1" x14ac:dyDescent="0.25">
      <c r="A454" s="11"/>
    </row>
    <row r="455" spans="1:1" x14ac:dyDescent="0.25">
      <c r="A455" s="11"/>
    </row>
    <row r="456" spans="1:1" x14ac:dyDescent="0.25">
      <c r="A456" s="11"/>
    </row>
    <row r="457" spans="1:1" x14ac:dyDescent="0.25">
      <c r="A457" s="11"/>
    </row>
    <row r="458" spans="1:1" x14ac:dyDescent="0.25">
      <c r="A458" s="11"/>
    </row>
    <row r="459" spans="1:1" x14ac:dyDescent="0.25">
      <c r="A459" s="11"/>
    </row>
    <row r="460" spans="1:1" x14ac:dyDescent="0.25">
      <c r="A460" s="11"/>
    </row>
    <row r="461" spans="1:1" x14ac:dyDescent="0.25">
      <c r="A461" s="11"/>
    </row>
    <row r="462" spans="1:1" x14ac:dyDescent="0.25">
      <c r="A462" s="11"/>
    </row>
    <row r="463" spans="1:1" x14ac:dyDescent="0.25">
      <c r="A463" s="11"/>
    </row>
    <row r="464" spans="1:1" x14ac:dyDescent="0.25">
      <c r="A464" s="11"/>
    </row>
    <row r="465" spans="1:1" x14ac:dyDescent="0.25">
      <c r="A465" s="11"/>
    </row>
    <row r="466" spans="1:1" x14ac:dyDescent="0.25">
      <c r="A466" s="11"/>
    </row>
    <row r="467" spans="1:1" x14ac:dyDescent="0.25">
      <c r="A467" s="11"/>
    </row>
    <row r="468" spans="1:1" x14ac:dyDescent="0.25">
      <c r="A468" s="11"/>
    </row>
    <row r="469" spans="1:1" x14ac:dyDescent="0.25">
      <c r="A469" s="11"/>
    </row>
    <row r="470" spans="1:1" x14ac:dyDescent="0.25">
      <c r="A470" s="11"/>
    </row>
    <row r="471" spans="1:1" x14ac:dyDescent="0.25">
      <c r="A471" s="11"/>
    </row>
    <row r="472" spans="1:1" x14ac:dyDescent="0.25">
      <c r="A472" s="11"/>
    </row>
    <row r="473" spans="1:1" x14ac:dyDescent="0.25">
      <c r="A473" s="11"/>
    </row>
    <row r="474" spans="1:1" x14ac:dyDescent="0.25">
      <c r="A474" s="11"/>
    </row>
    <row r="475" spans="1:1" x14ac:dyDescent="0.25">
      <c r="A475" s="11"/>
    </row>
    <row r="476" spans="1:1" x14ac:dyDescent="0.25">
      <c r="A476" s="11"/>
    </row>
    <row r="477" spans="1:1" x14ac:dyDescent="0.25">
      <c r="A477" s="11"/>
    </row>
    <row r="478" spans="1:1" x14ac:dyDescent="0.25">
      <c r="A478" s="11"/>
    </row>
    <row r="479" spans="1:1" x14ac:dyDescent="0.25">
      <c r="A479" s="11"/>
    </row>
    <row r="480" spans="1:1" x14ac:dyDescent="0.25">
      <c r="A480" s="11"/>
    </row>
    <row r="481" spans="1:1" x14ac:dyDescent="0.25">
      <c r="A481" s="11"/>
    </row>
    <row r="482" spans="1:1" x14ac:dyDescent="0.25">
      <c r="A482" s="11"/>
    </row>
    <row r="483" spans="1:1" x14ac:dyDescent="0.25">
      <c r="A483" s="11"/>
    </row>
    <row r="484" spans="1:1" x14ac:dyDescent="0.25">
      <c r="A484" s="11"/>
    </row>
    <row r="485" spans="1:1" x14ac:dyDescent="0.25">
      <c r="A485" s="11"/>
    </row>
    <row r="486" spans="1:1" x14ac:dyDescent="0.25">
      <c r="A486" s="11"/>
    </row>
    <row r="487" spans="1:1" x14ac:dyDescent="0.25">
      <c r="A487" s="11"/>
    </row>
    <row r="488" spans="1:1" x14ac:dyDescent="0.25">
      <c r="A488" s="11"/>
    </row>
    <row r="489" spans="1:1" x14ac:dyDescent="0.25">
      <c r="A489" s="11"/>
    </row>
    <row r="490" spans="1:1" x14ac:dyDescent="0.25">
      <c r="A490" s="11"/>
    </row>
    <row r="491" spans="1:1" x14ac:dyDescent="0.25">
      <c r="A491" s="11"/>
    </row>
    <row r="492" spans="1:1" x14ac:dyDescent="0.25">
      <c r="A492" s="11"/>
    </row>
    <row r="493" spans="1:1" x14ac:dyDescent="0.25">
      <c r="A493" s="11"/>
    </row>
    <row r="494" spans="1:1" x14ac:dyDescent="0.25">
      <c r="A494" s="11"/>
    </row>
    <row r="495" spans="1:1" x14ac:dyDescent="0.25">
      <c r="A495" s="11"/>
    </row>
    <row r="496" spans="1:1" x14ac:dyDescent="0.25">
      <c r="A496" s="11"/>
    </row>
    <row r="497" spans="1:1" x14ac:dyDescent="0.25">
      <c r="A497" s="11"/>
    </row>
    <row r="498" spans="1:1" x14ac:dyDescent="0.25">
      <c r="A498" s="11"/>
    </row>
    <row r="499" spans="1:1" x14ac:dyDescent="0.25">
      <c r="A499" s="11"/>
    </row>
    <row r="500" spans="1:1" x14ac:dyDescent="0.25">
      <c r="A500" s="11"/>
    </row>
    <row r="501" spans="1:1" x14ac:dyDescent="0.25">
      <c r="A501" s="11"/>
    </row>
    <row r="502" spans="1:1" x14ac:dyDescent="0.25">
      <c r="A502" s="11"/>
    </row>
    <row r="503" spans="1:1" x14ac:dyDescent="0.25">
      <c r="A503" s="11"/>
    </row>
    <row r="504" spans="1:1" x14ac:dyDescent="0.25">
      <c r="A504" s="11"/>
    </row>
    <row r="505" spans="1:1" x14ac:dyDescent="0.25">
      <c r="A505" s="11"/>
    </row>
    <row r="506" spans="1:1" x14ac:dyDescent="0.25">
      <c r="A506" s="11"/>
    </row>
    <row r="507" spans="1:1" x14ac:dyDescent="0.25">
      <c r="A507" s="11"/>
    </row>
    <row r="508" spans="1:1" x14ac:dyDescent="0.25">
      <c r="A508" s="11"/>
    </row>
    <row r="509" spans="1:1" x14ac:dyDescent="0.25">
      <c r="A509" s="11"/>
    </row>
    <row r="510" spans="1:1" x14ac:dyDescent="0.25">
      <c r="A510" s="11"/>
    </row>
    <row r="511" spans="1:1" x14ac:dyDescent="0.25">
      <c r="A511" s="11"/>
    </row>
    <row r="512" spans="1:1" x14ac:dyDescent="0.25">
      <c r="A512" s="11"/>
    </row>
    <row r="513" spans="1:1" x14ac:dyDescent="0.25">
      <c r="A513" s="11"/>
    </row>
    <row r="514" spans="1:1" x14ac:dyDescent="0.25">
      <c r="A514" s="11"/>
    </row>
    <row r="515" spans="1:1" x14ac:dyDescent="0.25">
      <c r="A515" s="11"/>
    </row>
    <row r="516" spans="1:1" x14ac:dyDescent="0.25">
      <c r="A516" s="11"/>
    </row>
    <row r="517" spans="1:1" x14ac:dyDescent="0.25">
      <c r="A517" s="11"/>
    </row>
    <row r="518" spans="1:1" x14ac:dyDescent="0.25">
      <c r="A518" s="11"/>
    </row>
    <row r="519" spans="1:1" x14ac:dyDescent="0.25">
      <c r="A519" s="11"/>
    </row>
    <row r="520" spans="1:1" x14ac:dyDescent="0.25">
      <c r="A520" s="11"/>
    </row>
    <row r="521" spans="1:1" x14ac:dyDescent="0.25">
      <c r="A521" s="11"/>
    </row>
    <row r="522" spans="1:1" x14ac:dyDescent="0.25">
      <c r="A522" s="11"/>
    </row>
    <row r="523" spans="1:1" x14ac:dyDescent="0.25">
      <c r="A523" s="11"/>
    </row>
    <row r="524" spans="1:1" x14ac:dyDescent="0.25">
      <c r="A524" s="11"/>
    </row>
    <row r="525" spans="1:1" x14ac:dyDescent="0.25">
      <c r="A525" s="11"/>
    </row>
    <row r="526" spans="1:1" x14ac:dyDescent="0.25">
      <c r="A526" s="11"/>
    </row>
    <row r="527" spans="1:1" x14ac:dyDescent="0.25">
      <c r="A527" s="11"/>
    </row>
    <row r="528" spans="1:1" x14ac:dyDescent="0.25">
      <c r="A528" s="11"/>
    </row>
    <row r="529" spans="1:1" x14ac:dyDescent="0.25">
      <c r="A529" s="11"/>
    </row>
    <row r="530" spans="1:1" x14ac:dyDescent="0.25">
      <c r="A530" s="11"/>
    </row>
    <row r="531" spans="1:1" x14ac:dyDescent="0.25">
      <c r="A531" s="11"/>
    </row>
    <row r="532" spans="1:1" x14ac:dyDescent="0.25">
      <c r="A532" s="11"/>
    </row>
    <row r="533" spans="1:1" x14ac:dyDescent="0.25">
      <c r="A533" s="11"/>
    </row>
    <row r="534" spans="1:1" x14ac:dyDescent="0.25">
      <c r="A534" s="11"/>
    </row>
    <row r="535" spans="1:1" x14ac:dyDescent="0.25">
      <c r="A535" s="11"/>
    </row>
    <row r="536" spans="1:1" x14ac:dyDescent="0.25">
      <c r="A536" s="11"/>
    </row>
    <row r="537" spans="1:1" x14ac:dyDescent="0.25">
      <c r="A537" s="11"/>
    </row>
    <row r="538" spans="1:1" x14ac:dyDescent="0.25">
      <c r="A538" s="11"/>
    </row>
    <row r="539" spans="1:1" x14ac:dyDescent="0.25">
      <c r="A539" s="11"/>
    </row>
    <row r="540" spans="1:1" x14ac:dyDescent="0.25">
      <c r="A540" s="11"/>
    </row>
    <row r="541" spans="1:1" x14ac:dyDescent="0.25">
      <c r="A541" s="11"/>
    </row>
    <row r="542" spans="1:1" x14ac:dyDescent="0.25">
      <c r="A542" s="11"/>
    </row>
    <row r="543" spans="1:1" x14ac:dyDescent="0.25">
      <c r="A543" s="11"/>
    </row>
    <row r="544" spans="1:1" x14ac:dyDescent="0.25">
      <c r="A544" s="11"/>
    </row>
    <row r="545" spans="1:1" x14ac:dyDescent="0.25">
      <c r="A545" s="11"/>
    </row>
    <row r="546" spans="1:1" x14ac:dyDescent="0.25">
      <c r="A546" s="11"/>
    </row>
    <row r="547" spans="1:1" x14ac:dyDescent="0.25">
      <c r="A547" s="11"/>
    </row>
    <row r="548" spans="1:1" x14ac:dyDescent="0.25">
      <c r="A548" s="11"/>
    </row>
    <row r="549" spans="1:1" x14ac:dyDescent="0.25">
      <c r="A549" s="11"/>
    </row>
    <row r="550" spans="1:1" x14ac:dyDescent="0.25">
      <c r="A550" s="11"/>
    </row>
    <row r="551" spans="1:1" x14ac:dyDescent="0.25">
      <c r="A551" s="11"/>
    </row>
    <row r="552" spans="1:1" x14ac:dyDescent="0.25">
      <c r="A552" s="11"/>
    </row>
    <row r="553" spans="1:1" x14ac:dyDescent="0.25">
      <c r="A553" s="11"/>
    </row>
    <row r="554" spans="1:1" x14ac:dyDescent="0.25">
      <c r="A554" s="11"/>
    </row>
    <row r="555" spans="1:1" x14ac:dyDescent="0.25">
      <c r="A555" s="11"/>
    </row>
    <row r="556" spans="1:1" x14ac:dyDescent="0.25">
      <c r="A556" s="11"/>
    </row>
    <row r="557" spans="1:1" x14ac:dyDescent="0.25">
      <c r="A557" s="11"/>
    </row>
    <row r="558" spans="1:1" x14ac:dyDescent="0.25">
      <c r="A558" s="11"/>
    </row>
    <row r="559" spans="1:1" x14ac:dyDescent="0.25">
      <c r="A559" s="11"/>
    </row>
    <row r="560" spans="1:1" x14ac:dyDescent="0.25">
      <c r="A560" s="11"/>
    </row>
    <row r="561" spans="1:1" x14ac:dyDescent="0.25">
      <c r="A561" s="11"/>
    </row>
    <row r="562" spans="1:1" x14ac:dyDescent="0.25">
      <c r="A562" s="11"/>
    </row>
    <row r="563" spans="1:1" x14ac:dyDescent="0.25">
      <c r="A563" s="11"/>
    </row>
    <row r="564" spans="1:1" x14ac:dyDescent="0.25">
      <c r="A564" s="11"/>
    </row>
    <row r="565" spans="1:1" x14ac:dyDescent="0.25">
      <c r="A565" s="11"/>
    </row>
    <row r="566" spans="1:1" x14ac:dyDescent="0.25">
      <c r="A566" s="11"/>
    </row>
    <row r="567" spans="1:1" x14ac:dyDescent="0.25">
      <c r="A567" s="11"/>
    </row>
    <row r="568" spans="1:1" x14ac:dyDescent="0.25">
      <c r="A568" s="11"/>
    </row>
    <row r="569" spans="1:1" x14ac:dyDescent="0.25">
      <c r="A569" s="11"/>
    </row>
    <row r="570" spans="1:1" x14ac:dyDescent="0.25">
      <c r="A570" s="11"/>
    </row>
    <row r="571" spans="1:1" x14ac:dyDescent="0.25">
      <c r="A571" s="11"/>
    </row>
    <row r="572" spans="1:1" x14ac:dyDescent="0.25">
      <c r="A572" s="11"/>
    </row>
    <row r="573" spans="1:1" x14ac:dyDescent="0.25">
      <c r="A573" s="11"/>
    </row>
    <row r="574" spans="1:1" x14ac:dyDescent="0.25">
      <c r="A574" s="11"/>
    </row>
    <row r="575" spans="1:1" x14ac:dyDescent="0.25">
      <c r="A575" s="11"/>
    </row>
    <row r="576" spans="1:1" x14ac:dyDescent="0.25">
      <c r="A576" s="11"/>
    </row>
    <row r="577" spans="1:1" x14ac:dyDescent="0.25">
      <c r="A577" s="11"/>
    </row>
    <row r="578" spans="1:1" x14ac:dyDescent="0.25">
      <c r="A578" s="11"/>
    </row>
    <row r="579" spans="1:1" x14ac:dyDescent="0.25">
      <c r="A579" s="11"/>
    </row>
    <row r="580" spans="1:1" x14ac:dyDescent="0.25">
      <c r="A580" s="11"/>
    </row>
    <row r="581" spans="1:1" x14ac:dyDescent="0.25">
      <c r="A581" s="11"/>
    </row>
    <row r="582" spans="1:1" x14ac:dyDescent="0.25">
      <c r="A582" s="11"/>
    </row>
    <row r="583" spans="1:1" x14ac:dyDescent="0.25">
      <c r="A583" s="11"/>
    </row>
    <row r="584" spans="1:1" x14ac:dyDescent="0.25">
      <c r="A584" s="11"/>
    </row>
    <row r="585" spans="1:1" x14ac:dyDescent="0.25">
      <c r="A585" s="11"/>
    </row>
    <row r="586" spans="1:1" x14ac:dyDescent="0.25">
      <c r="A586" s="11"/>
    </row>
    <row r="587" spans="1:1" x14ac:dyDescent="0.25">
      <c r="A587" s="11"/>
    </row>
    <row r="588" spans="1:1" x14ac:dyDescent="0.25">
      <c r="A588" s="11"/>
    </row>
    <row r="589" spans="1:1" x14ac:dyDescent="0.25">
      <c r="A589" s="11"/>
    </row>
    <row r="590" spans="1:1" x14ac:dyDescent="0.25">
      <c r="A590" s="11"/>
    </row>
    <row r="591" spans="1:1" x14ac:dyDescent="0.25">
      <c r="A591" s="11"/>
    </row>
    <row r="592" spans="1:1" x14ac:dyDescent="0.25">
      <c r="A592" s="11"/>
    </row>
    <row r="593" spans="1:1" x14ac:dyDescent="0.25">
      <c r="A593" s="11"/>
    </row>
    <row r="594" spans="1:1" x14ac:dyDescent="0.25">
      <c r="A594" s="11"/>
    </row>
    <row r="595" spans="1:1" x14ac:dyDescent="0.25">
      <c r="A595" s="11"/>
    </row>
    <row r="596" spans="1:1" x14ac:dyDescent="0.25">
      <c r="A596" s="11"/>
    </row>
    <row r="597" spans="1:1" x14ac:dyDescent="0.25">
      <c r="A597" s="11"/>
    </row>
    <row r="598" spans="1:1" x14ac:dyDescent="0.25">
      <c r="A598" s="11"/>
    </row>
    <row r="599" spans="1:1" x14ac:dyDescent="0.25">
      <c r="A599" s="11"/>
    </row>
    <row r="600" spans="1:1" x14ac:dyDescent="0.25">
      <c r="A600" s="11"/>
    </row>
    <row r="601" spans="1:1" x14ac:dyDescent="0.25">
      <c r="A601" s="11"/>
    </row>
    <row r="602" spans="1:1" x14ac:dyDescent="0.25">
      <c r="A602" s="11"/>
    </row>
    <row r="603" spans="1:1" x14ac:dyDescent="0.25">
      <c r="A603" s="11"/>
    </row>
    <row r="604" spans="1:1" x14ac:dyDescent="0.25">
      <c r="A604" s="11"/>
    </row>
    <row r="605" spans="1:1" x14ac:dyDescent="0.25">
      <c r="A605" s="11"/>
    </row>
    <row r="606" spans="1:1" x14ac:dyDescent="0.25">
      <c r="A606" s="11"/>
    </row>
    <row r="607" spans="1:1" x14ac:dyDescent="0.25">
      <c r="A607" s="11"/>
    </row>
    <row r="608" spans="1:1" x14ac:dyDescent="0.25">
      <c r="A608" s="11"/>
    </row>
    <row r="609" spans="1:1" x14ac:dyDescent="0.25">
      <c r="A609" s="11"/>
    </row>
    <row r="610" spans="1:1" x14ac:dyDescent="0.25">
      <c r="A610" s="11"/>
    </row>
    <row r="611" spans="1:1" x14ac:dyDescent="0.25">
      <c r="A611" s="11"/>
    </row>
    <row r="612" spans="1:1" x14ac:dyDescent="0.25">
      <c r="A612" s="11"/>
    </row>
    <row r="613" spans="1:1" x14ac:dyDescent="0.25">
      <c r="A613" s="11"/>
    </row>
    <row r="614" spans="1:1" x14ac:dyDescent="0.25">
      <c r="A614" s="11"/>
    </row>
    <row r="615" spans="1:1" x14ac:dyDescent="0.25">
      <c r="A615" s="11"/>
    </row>
    <row r="616" spans="1:1" x14ac:dyDescent="0.25">
      <c r="A616" s="11"/>
    </row>
    <row r="617" spans="1:1" x14ac:dyDescent="0.25">
      <c r="A617" s="11"/>
    </row>
    <row r="618" spans="1:1" x14ac:dyDescent="0.25">
      <c r="A618" s="11"/>
    </row>
    <row r="619" spans="1:1" x14ac:dyDescent="0.25">
      <c r="A619" s="11"/>
    </row>
    <row r="620" spans="1:1" x14ac:dyDescent="0.25">
      <c r="A620" s="11"/>
    </row>
    <row r="621" spans="1:1" x14ac:dyDescent="0.25">
      <c r="A621" s="11"/>
    </row>
    <row r="622" spans="1:1" x14ac:dyDescent="0.25">
      <c r="A622" s="11"/>
    </row>
    <row r="623" spans="1:1" x14ac:dyDescent="0.25">
      <c r="A623" s="11"/>
    </row>
    <row r="624" spans="1:1" x14ac:dyDescent="0.25">
      <c r="A624" s="11"/>
    </row>
    <row r="625" spans="1:1" x14ac:dyDescent="0.25">
      <c r="A625" s="11"/>
    </row>
    <row r="626" spans="1:1" x14ac:dyDescent="0.25">
      <c r="A626" s="11"/>
    </row>
    <row r="627" spans="1:1" x14ac:dyDescent="0.25">
      <c r="A627" s="11"/>
    </row>
    <row r="628" spans="1:1" x14ac:dyDescent="0.25">
      <c r="A628" s="11"/>
    </row>
    <row r="629" spans="1:1" x14ac:dyDescent="0.25">
      <c r="A629" s="11"/>
    </row>
    <row r="630" spans="1:1" x14ac:dyDescent="0.25">
      <c r="A630" s="11"/>
    </row>
    <row r="631" spans="1:1" x14ac:dyDescent="0.25">
      <c r="A631" s="11"/>
    </row>
    <row r="632" spans="1:1" x14ac:dyDescent="0.25">
      <c r="A632" s="11"/>
    </row>
    <row r="633" spans="1:1" x14ac:dyDescent="0.25">
      <c r="A633" s="11"/>
    </row>
    <row r="634" spans="1:1" x14ac:dyDescent="0.25">
      <c r="A634" s="11"/>
    </row>
    <row r="635" spans="1:1" x14ac:dyDescent="0.25">
      <c r="A635" s="11"/>
    </row>
    <row r="636" spans="1:1" x14ac:dyDescent="0.25">
      <c r="A636" s="11"/>
    </row>
    <row r="637" spans="1:1" x14ac:dyDescent="0.25">
      <c r="A637" s="11"/>
    </row>
    <row r="638" spans="1:1" x14ac:dyDescent="0.25">
      <c r="A638" s="11"/>
    </row>
    <row r="639" spans="1:1" x14ac:dyDescent="0.25">
      <c r="A639" s="11"/>
    </row>
    <row r="640" spans="1:1" x14ac:dyDescent="0.25">
      <c r="A640" s="11"/>
    </row>
    <row r="641" spans="1:1" x14ac:dyDescent="0.25">
      <c r="A641" s="11"/>
    </row>
    <row r="642" spans="1:1" x14ac:dyDescent="0.25">
      <c r="A642" s="11"/>
    </row>
    <row r="643" spans="1:1" x14ac:dyDescent="0.25">
      <c r="A643" s="11"/>
    </row>
    <row r="644" spans="1:1" x14ac:dyDescent="0.25">
      <c r="A644" s="11"/>
    </row>
    <row r="645" spans="1:1" x14ac:dyDescent="0.25">
      <c r="A645" s="11"/>
    </row>
    <row r="646" spans="1:1" x14ac:dyDescent="0.25">
      <c r="A646" s="11"/>
    </row>
    <row r="647" spans="1:1" x14ac:dyDescent="0.25">
      <c r="A647" s="11"/>
    </row>
    <row r="648" spans="1:1" x14ac:dyDescent="0.25">
      <c r="A648" s="11"/>
    </row>
    <row r="649" spans="1:1" x14ac:dyDescent="0.25">
      <c r="A649" s="11"/>
    </row>
    <row r="650" spans="1:1" x14ac:dyDescent="0.25">
      <c r="A650" s="11"/>
    </row>
    <row r="651" spans="1:1" x14ac:dyDescent="0.25">
      <c r="A651" s="11"/>
    </row>
    <row r="652" spans="1:1" x14ac:dyDescent="0.25">
      <c r="A652" s="11"/>
    </row>
    <row r="653" spans="1:1" x14ac:dyDescent="0.25">
      <c r="A653" s="11"/>
    </row>
    <row r="654" spans="1:1" x14ac:dyDescent="0.25">
      <c r="A654" s="11"/>
    </row>
    <row r="655" spans="1:1" x14ac:dyDescent="0.25">
      <c r="A655" s="11"/>
    </row>
    <row r="656" spans="1:1" x14ac:dyDescent="0.25">
      <c r="A656" s="11"/>
    </row>
    <row r="657" spans="1:1" x14ac:dyDescent="0.25">
      <c r="A657" s="11"/>
    </row>
    <row r="658" spans="1:1" x14ac:dyDescent="0.25">
      <c r="A658" s="11"/>
    </row>
    <row r="659" spans="1:1" x14ac:dyDescent="0.25">
      <c r="A659" s="11"/>
    </row>
    <row r="660" spans="1:1" x14ac:dyDescent="0.25">
      <c r="A660" s="11"/>
    </row>
    <row r="661" spans="1:1" x14ac:dyDescent="0.25">
      <c r="A661" s="11"/>
    </row>
    <row r="662" spans="1:1" x14ac:dyDescent="0.25">
      <c r="A662" s="11"/>
    </row>
    <row r="663" spans="1:1" x14ac:dyDescent="0.25">
      <c r="A663" s="11"/>
    </row>
    <row r="664" spans="1:1" x14ac:dyDescent="0.25">
      <c r="A664" s="11"/>
    </row>
    <row r="665" spans="1:1" x14ac:dyDescent="0.25">
      <c r="A665" s="11"/>
    </row>
    <row r="666" spans="1:1" x14ac:dyDescent="0.25">
      <c r="A666" s="11"/>
    </row>
    <row r="667" spans="1:1" x14ac:dyDescent="0.25">
      <c r="A667" s="11"/>
    </row>
    <row r="668" spans="1:1" x14ac:dyDescent="0.25">
      <c r="A668" s="11"/>
    </row>
    <row r="669" spans="1:1" x14ac:dyDescent="0.25">
      <c r="A669" s="11"/>
    </row>
    <row r="670" spans="1:1" x14ac:dyDescent="0.25">
      <c r="A670" s="11"/>
    </row>
    <row r="671" spans="1:1" x14ac:dyDescent="0.25">
      <c r="A671" s="11"/>
    </row>
    <row r="672" spans="1:1" x14ac:dyDescent="0.25">
      <c r="A672" s="11"/>
    </row>
    <row r="673" spans="1:1" x14ac:dyDescent="0.25">
      <c r="A673" s="11"/>
    </row>
    <row r="674" spans="1:1" x14ac:dyDescent="0.25">
      <c r="A674" s="11"/>
    </row>
    <row r="675" spans="1:1" x14ac:dyDescent="0.25">
      <c r="A675" s="11"/>
    </row>
    <row r="676" spans="1:1" x14ac:dyDescent="0.25">
      <c r="A676" s="11"/>
    </row>
    <row r="677" spans="1:1" x14ac:dyDescent="0.25">
      <c r="A677" s="11"/>
    </row>
    <row r="678" spans="1:1" x14ac:dyDescent="0.25">
      <c r="A678" s="11"/>
    </row>
    <row r="679" spans="1:1" x14ac:dyDescent="0.25">
      <c r="A679" s="11"/>
    </row>
    <row r="680" spans="1:1" x14ac:dyDescent="0.25">
      <c r="A680" s="11"/>
    </row>
    <row r="681" spans="1:1" x14ac:dyDescent="0.25">
      <c r="A681" s="11"/>
    </row>
    <row r="682" spans="1:1" x14ac:dyDescent="0.25">
      <c r="A682" s="11"/>
    </row>
    <row r="683" spans="1:1" x14ac:dyDescent="0.25">
      <c r="A683" s="11"/>
    </row>
    <row r="684" spans="1:1" x14ac:dyDescent="0.25">
      <c r="A684" s="11"/>
    </row>
    <row r="685" spans="1:1" x14ac:dyDescent="0.25">
      <c r="A685" s="11"/>
    </row>
    <row r="686" spans="1:1" x14ac:dyDescent="0.25">
      <c r="A686" s="11"/>
    </row>
    <row r="687" spans="1:1" x14ac:dyDescent="0.25">
      <c r="A687" s="11"/>
    </row>
    <row r="688" spans="1:1" x14ac:dyDescent="0.25">
      <c r="A688" s="11"/>
    </row>
    <row r="689" spans="1:1" x14ac:dyDescent="0.25">
      <c r="A689" s="11"/>
    </row>
    <row r="690" spans="1:1" x14ac:dyDescent="0.25">
      <c r="A690" s="11"/>
    </row>
    <row r="691" spans="1:1" x14ac:dyDescent="0.25">
      <c r="A691" s="11"/>
    </row>
    <row r="692" spans="1:1" x14ac:dyDescent="0.25">
      <c r="A692" s="11"/>
    </row>
    <row r="693" spans="1:1" x14ac:dyDescent="0.25">
      <c r="A693" s="11"/>
    </row>
    <row r="694" spans="1:1" x14ac:dyDescent="0.25">
      <c r="A694" s="11"/>
    </row>
    <row r="695" spans="1:1" x14ac:dyDescent="0.25">
      <c r="A695" s="11"/>
    </row>
    <row r="696" spans="1:1" x14ac:dyDescent="0.25">
      <c r="A696" s="11"/>
    </row>
    <row r="697" spans="1:1" x14ac:dyDescent="0.25">
      <c r="A697" s="11"/>
    </row>
    <row r="698" spans="1:1" x14ac:dyDescent="0.25">
      <c r="A698" s="11"/>
    </row>
    <row r="699" spans="1:1" x14ac:dyDescent="0.25">
      <c r="A699" s="11"/>
    </row>
    <row r="700" spans="1:1" x14ac:dyDescent="0.25">
      <c r="A700" s="11"/>
    </row>
    <row r="701" spans="1:1" x14ac:dyDescent="0.25">
      <c r="A701" s="11"/>
    </row>
    <row r="702" spans="1:1" x14ac:dyDescent="0.25">
      <c r="A702" s="11"/>
    </row>
    <row r="703" spans="1:1" x14ac:dyDescent="0.25">
      <c r="A703" s="11"/>
    </row>
    <row r="704" spans="1:1" x14ac:dyDescent="0.25">
      <c r="A704" s="11"/>
    </row>
    <row r="705" spans="1:1" x14ac:dyDescent="0.25">
      <c r="A705" s="11"/>
    </row>
    <row r="706" spans="1:1" x14ac:dyDescent="0.25">
      <c r="A706" s="11"/>
    </row>
    <row r="707" spans="1:1" x14ac:dyDescent="0.25">
      <c r="A707" s="11"/>
    </row>
    <row r="708" spans="1:1" x14ac:dyDescent="0.25">
      <c r="A708" s="11"/>
    </row>
    <row r="709" spans="1:1" x14ac:dyDescent="0.25">
      <c r="A709" s="11"/>
    </row>
    <row r="710" spans="1:1" x14ac:dyDescent="0.25">
      <c r="A710" s="11"/>
    </row>
    <row r="711" spans="1:1" x14ac:dyDescent="0.25">
      <c r="A711" s="11"/>
    </row>
    <row r="712" spans="1:1" x14ac:dyDescent="0.25">
      <c r="A712" s="11"/>
    </row>
    <row r="713" spans="1:1" x14ac:dyDescent="0.25">
      <c r="A713" s="11"/>
    </row>
    <row r="714" spans="1:1" x14ac:dyDescent="0.25">
      <c r="A714" s="11"/>
    </row>
    <row r="715" spans="1:1" x14ac:dyDescent="0.25">
      <c r="A715" s="11"/>
    </row>
    <row r="716" spans="1:1" x14ac:dyDescent="0.25">
      <c r="A716" s="11"/>
    </row>
    <row r="717" spans="1:1" x14ac:dyDescent="0.25">
      <c r="A717" s="11"/>
    </row>
    <row r="718" spans="1:1" x14ac:dyDescent="0.25">
      <c r="A718" s="11"/>
    </row>
    <row r="719" spans="1:1" x14ac:dyDescent="0.25">
      <c r="A719" s="11"/>
    </row>
    <row r="720" spans="1:1" x14ac:dyDescent="0.25">
      <c r="A720" s="11"/>
    </row>
    <row r="721" spans="1:1" x14ac:dyDescent="0.25">
      <c r="A721" s="11"/>
    </row>
    <row r="722" spans="1:1" x14ac:dyDescent="0.25">
      <c r="A722" s="11"/>
    </row>
    <row r="723" spans="1:1" x14ac:dyDescent="0.25">
      <c r="A723" s="11"/>
    </row>
    <row r="724" spans="1:1" x14ac:dyDescent="0.25">
      <c r="A724" s="11"/>
    </row>
    <row r="725" spans="1:1" x14ac:dyDescent="0.25">
      <c r="A725" s="11"/>
    </row>
    <row r="726" spans="1:1" x14ac:dyDescent="0.25">
      <c r="A726" s="11"/>
    </row>
    <row r="727" spans="1:1" x14ac:dyDescent="0.25">
      <c r="A727" s="11"/>
    </row>
    <row r="728" spans="1:1" x14ac:dyDescent="0.25">
      <c r="A728" s="11"/>
    </row>
    <row r="729" spans="1:1" x14ac:dyDescent="0.25">
      <c r="A729" s="11"/>
    </row>
    <row r="730" spans="1:1" x14ac:dyDescent="0.25">
      <c r="A730" s="11"/>
    </row>
    <row r="731" spans="1:1" x14ac:dyDescent="0.25">
      <c r="A731" s="11"/>
    </row>
    <row r="732" spans="1:1" x14ac:dyDescent="0.25">
      <c r="A732" s="11"/>
    </row>
    <row r="733" spans="1:1" x14ac:dyDescent="0.25">
      <c r="A733" s="11"/>
    </row>
    <row r="734" spans="1:1" x14ac:dyDescent="0.25">
      <c r="A734" s="11"/>
    </row>
    <row r="735" spans="1:1" x14ac:dyDescent="0.25">
      <c r="A735" s="11"/>
    </row>
    <row r="736" spans="1:1" x14ac:dyDescent="0.25">
      <c r="A736" s="11"/>
    </row>
    <row r="737" spans="1:1" x14ac:dyDescent="0.25">
      <c r="A737" s="11"/>
    </row>
    <row r="738" spans="1:1" x14ac:dyDescent="0.25">
      <c r="A738" s="11"/>
    </row>
    <row r="739" spans="1:1" x14ac:dyDescent="0.25">
      <c r="A739" s="11"/>
    </row>
    <row r="740" spans="1:1" x14ac:dyDescent="0.25">
      <c r="A740" s="11"/>
    </row>
    <row r="741" spans="1:1" x14ac:dyDescent="0.25">
      <c r="A741" s="11"/>
    </row>
    <row r="742" spans="1:1" x14ac:dyDescent="0.25">
      <c r="A742" s="11"/>
    </row>
    <row r="743" spans="1:1" x14ac:dyDescent="0.25">
      <c r="A743" s="11"/>
    </row>
    <row r="744" spans="1:1" x14ac:dyDescent="0.25">
      <c r="A744" s="11"/>
    </row>
    <row r="745" spans="1:1" x14ac:dyDescent="0.25">
      <c r="A745" s="11"/>
    </row>
    <row r="746" spans="1:1" x14ac:dyDescent="0.25">
      <c r="A746" s="11"/>
    </row>
    <row r="747" spans="1:1" x14ac:dyDescent="0.25">
      <c r="A747" s="11"/>
    </row>
    <row r="748" spans="1:1" x14ac:dyDescent="0.25">
      <c r="A748" s="11"/>
    </row>
    <row r="749" spans="1:1" x14ac:dyDescent="0.25">
      <c r="A749" s="11"/>
    </row>
    <row r="750" spans="1:1" x14ac:dyDescent="0.25">
      <c r="A750" s="11"/>
    </row>
    <row r="751" spans="1:1" x14ac:dyDescent="0.25">
      <c r="A751" s="11"/>
    </row>
    <row r="752" spans="1:1" x14ac:dyDescent="0.25">
      <c r="A752" s="11"/>
    </row>
    <row r="753" spans="1:1" x14ac:dyDescent="0.25">
      <c r="A753" s="11"/>
    </row>
    <row r="754" spans="1:1" x14ac:dyDescent="0.25">
      <c r="A754" s="11"/>
    </row>
    <row r="755" spans="1:1" x14ac:dyDescent="0.25">
      <c r="A755" s="11"/>
    </row>
    <row r="756" spans="1:1" x14ac:dyDescent="0.25">
      <c r="A756" s="11"/>
    </row>
    <row r="757" spans="1:1" x14ac:dyDescent="0.25">
      <c r="A757" s="11"/>
    </row>
    <row r="758" spans="1:1" x14ac:dyDescent="0.25">
      <c r="A758" s="11"/>
    </row>
    <row r="759" spans="1:1" x14ac:dyDescent="0.25">
      <c r="A759" s="11"/>
    </row>
    <row r="760" spans="1:1" x14ac:dyDescent="0.25">
      <c r="A760" s="11"/>
    </row>
    <row r="761" spans="1:1" x14ac:dyDescent="0.25">
      <c r="A761" s="11"/>
    </row>
    <row r="762" spans="1:1" x14ac:dyDescent="0.25">
      <c r="A762" s="11"/>
    </row>
    <row r="763" spans="1:1" x14ac:dyDescent="0.25">
      <c r="A763" s="11"/>
    </row>
    <row r="764" spans="1:1" x14ac:dyDescent="0.25">
      <c r="A764" s="11"/>
    </row>
    <row r="765" spans="1:1" x14ac:dyDescent="0.25">
      <c r="A765" s="11"/>
    </row>
    <row r="766" spans="1:1" x14ac:dyDescent="0.25">
      <c r="A766" s="11"/>
    </row>
    <row r="767" spans="1:1" x14ac:dyDescent="0.25">
      <c r="A767" s="11"/>
    </row>
    <row r="768" spans="1:1" x14ac:dyDescent="0.25">
      <c r="A768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9"/>
  <sheetViews>
    <sheetView workbookViewId="0">
      <selection activeCell="M118" sqref="M118"/>
    </sheetView>
  </sheetViews>
  <sheetFormatPr defaultRowHeight="15" x14ac:dyDescent="0.25"/>
  <cols>
    <col min="1" max="1" width="15.28515625" customWidth="1"/>
    <col min="2" max="7" width="8.7109375" customWidth="1"/>
  </cols>
  <sheetData>
    <row r="1" spans="1:7" x14ac:dyDescent="0.25">
      <c r="A1" s="2" t="s">
        <v>0</v>
      </c>
      <c r="B1" s="2" t="s">
        <v>3</v>
      </c>
      <c r="C1" s="2" t="s">
        <v>4</v>
      </c>
      <c r="D1" s="6" t="s">
        <v>5</v>
      </c>
      <c r="E1" s="2"/>
      <c r="F1" s="6"/>
      <c r="G1" s="2"/>
    </row>
    <row r="2" spans="1:7" x14ac:dyDescent="0.25">
      <c r="A2" s="11">
        <v>45231.020833333336</v>
      </c>
      <c r="B2" s="10">
        <v>72.059702154995932</v>
      </c>
      <c r="C2" s="10">
        <v>72.059702154995932</v>
      </c>
      <c r="D2" s="10">
        <v>72.059702154995932</v>
      </c>
      <c r="E2" s="10"/>
      <c r="F2" s="10"/>
      <c r="G2" s="10"/>
    </row>
    <row r="3" spans="1:7" x14ac:dyDescent="0.25">
      <c r="A3" s="11">
        <v>45231.0625</v>
      </c>
      <c r="B3" s="10">
        <v>72.059702154995932</v>
      </c>
      <c r="C3" s="10">
        <v>72.059702154995932</v>
      </c>
      <c r="D3" s="10">
        <v>72.059702154995932</v>
      </c>
      <c r="E3" s="10"/>
      <c r="F3" s="10"/>
      <c r="G3" s="10"/>
    </row>
    <row r="4" spans="1:7" x14ac:dyDescent="0.25">
      <c r="A4" s="11">
        <v>45231.104166666664</v>
      </c>
      <c r="B4" s="10">
        <v>72.059702154995932</v>
      </c>
      <c r="C4" s="10">
        <v>72.059702154995932</v>
      </c>
      <c r="D4" s="10">
        <v>72.059702154995932</v>
      </c>
      <c r="E4" s="10"/>
      <c r="F4" s="10"/>
      <c r="G4" s="10"/>
    </row>
    <row r="5" spans="1:7" x14ac:dyDescent="0.25">
      <c r="A5" s="11">
        <v>45231.145833333336</v>
      </c>
      <c r="B5" s="10">
        <v>72.059702154995932</v>
      </c>
      <c r="C5" s="10">
        <v>72.059702154995932</v>
      </c>
      <c r="D5" s="10">
        <v>72.059702154995932</v>
      </c>
      <c r="E5" s="10"/>
      <c r="F5" s="10"/>
      <c r="G5" s="10"/>
    </row>
    <row r="6" spans="1:7" x14ac:dyDescent="0.25">
      <c r="A6" s="11">
        <v>45231.1875</v>
      </c>
      <c r="B6" s="10">
        <v>72.059702154995932</v>
      </c>
      <c r="C6" s="10">
        <v>72.059702154995932</v>
      </c>
      <c r="D6" s="10">
        <v>72.059702154995932</v>
      </c>
      <c r="E6" s="10"/>
      <c r="F6" s="10"/>
      <c r="G6" s="10"/>
    </row>
    <row r="7" spans="1:7" x14ac:dyDescent="0.25">
      <c r="A7" s="11">
        <v>45231.229166666664</v>
      </c>
      <c r="B7" s="10">
        <v>72.059702154995932</v>
      </c>
      <c r="C7" s="10">
        <v>72.059702154995932</v>
      </c>
      <c r="D7" s="10">
        <v>72.059702154995932</v>
      </c>
      <c r="E7" s="10"/>
      <c r="F7" s="10"/>
      <c r="G7" s="10"/>
    </row>
    <row r="8" spans="1:7" x14ac:dyDescent="0.25">
      <c r="A8" s="11">
        <v>45231.270833333336</v>
      </c>
      <c r="B8" s="10">
        <v>66.987191656370953</v>
      </c>
      <c r="C8" s="10">
        <v>66.987191656370953</v>
      </c>
      <c r="D8" s="10">
        <v>66.987191656370953</v>
      </c>
      <c r="E8" s="10"/>
      <c r="F8" s="10"/>
      <c r="G8" s="10"/>
    </row>
    <row r="9" spans="1:7" x14ac:dyDescent="0.25">
      <c r="A9" s="11">
        <v>45231.3125</v>
      </c>
      <c r="B9" s="10">
        <v>55.704198488026208</v>
      </c>
      <c r="C9" s="10">
        <v>55.704198488026208</v>
      </c>
      <c r="D9" s="10">
        <v>55.704198488026208</v>
      </c>
      <c r="E9" s="10"/>
      <c r="F9" s="10"/>
      <c r="G9" s="10"/>
    </row>
    <row r="10" spans="1:7" x14ac:dyDescent="0.25">
      <c r="A10" s="11">
        <v>45231.354166666664</v>
      </c>
      <c r="B10" s="10">
        <v>42.226352153545861</v>
      </c>
      <c r="C10" s="10">
        <v>42.226352153545861</v>
      </c>
      <c r="D10" s="10">
        <v>42.226352153545861</v>
      </c>
      <c r="E10" s="10"/>
      <c r="F10" s="10"/>
      <c r="G10" s="10"/>
    </row>
    <row r="11" spans="1:7" x14ac:dyDescent="0.25">
      <c r="A11" s="11">
        <v>45231.395833333336</v>
      </c>
      <c r="B11" s="10">
        <v>26.052297342224364</v>
      </c>
      <c r="C11" s="10">
        <v>26.052297342224364</v>
      </c>
      <c r="D11" s="10">
        <v>26.052297342224364</v>
      </c>
      <c r="E11" s="10"/>
      <c r="F11" s="10"/>
      <c r="G11" s="10"/>
    </row>
    <row r="12" spans="1:7" x14ac:dyDescent="0.25">
      <c r="A12" s="11">
        <v>45231.4375</v>
      </c>
      <c r="B12" s="10">
        <v>10.942876443148982</v>
      </c>
      <c r="C12" s="10">
        <v>10.942876443148982</v>
      </c>
      <c r="D12" s="10">
        <v>10.942876443148982</v>
      </c>
      <c r="E12" s="10"/>
      <c r="F12" s="10"/>
      <c r="G12" s="10"/>
    </row>
    <row r="13" spans="1:7" x14ac:dyDescent="0.25">
      <c r="A13" s="11">
        <v>45231.479166666664</v>
      </c>
      <c r="B13" s="10">
        <v>17.054812201843998</v>
      </c>
      <c r="C13" s="10">
        <v>17.054812201843998</v>
      </c>
      <c r="D13" s="10">
        <v>17.054812201843998</v>
      </c>
      <c r="E13" s="10"/>
      <c r="F13" s="10"/>
      <c r="G13" s="10"/>
    </row>
    <row r="14" spans="1:7" x14ac:dyDescent="0.25">
      <c r="A14" s="11">
        <v>45231.520833333336</v>
      </c>
      <c r="B14" s="10">
        <v>41.164635646442171</v>
      </c>
      <c r="C14" s="10">
        <v>41.164635646442171</v>
      </c>
      <c r="D14" s="10">
        <v>41.164635646442171</v>
      </c>
      <c r="E14" s="10"/>
      <c r="F14" s="10"/>
      <c r="G14" s="10"/>
    </row>
    <row r="15" spans="1:7" x14ac:dyDescent="0.25">
      <c r="A15" s="11">
        <v>45231.5625</v>
      </c>
      <c r="B15" s="10">
        <v>62.855785179826569</v>
      </c>
      <c r="C15" s="10">
        <v>62.855785179826569</v>
      </c>
      <c r="D15" s="10">
        <v>62.855785179826569</v>
      </c>
      <c r="E15" s="10"/>
      <c r="F15" s="10"/>
      <c r="G15" s="10"/>
    </row>
    <row r="16" spans="1:7" x14ac:dyDescent="0.25">
      <c r="A16" s="11">
        <v>45231.604166666664</v>
      </c>
      <c r="B16" s="10">
        <v>80.746586828885654</v>
      </c>
      <c r="C16" s="10">
        <v>80.746586828885654</v>
      </c>
      <c r="D16" s="10">
        <v>80.746586828885654</v>
      </c>
      <c r="E16" s="10"/>
      <c r="F16" s="10"/>
      <c r="G16" s="10"/>
    </row>
    <row r="17" spans="1:7" x14ac:dyDescent="0.25">
      <c r="A17" s="11">
        <v>45231.645833333336</v>
      </c>
      <c r="B17" s="10">
        <v>95.409554390077403</v>
      </c>
      <c r="C17" s="10">
        <v>95.409554390077403</v>
      </c>
      <c r="D17" s="10">
        <v>95.409554390077403</v>
      </c>
      <c r="E17" s="10"/>
      <c r="F17" s="10"/>
      <c r="G17" s="10"/>
    </row>
    <row r="18" spans="1:7" x14ac:dyDescent="0.25">
      <c r="A18" s="11">
        <v>45231.6875</v>
      </c>
      <c r="B18" s="10">
        <v>87.068707028600841</v>
      </c>
      <c r="C18" s="10">
        <v>87.068707028600841</v>
      </c>
      <c r="D18" s="10">
        <v>87.068707028600841</v>
      </c>
      <c r="E18" s="10"/>
      <c r="F18" s="10"/>
      <c r="G18" s="10"/>
    </row>
    <row r="19" spans="1:7" x14ac:dyDescent="0.25">
      <c r="A19" s="11">
        <v>45231.729166666664</v>
      </c>
      <c r="B19" s="10">
        <v>72.059702154995932</v>
      </c>
      <c r="C19" s="10">
        <v>72.059702154995932</v>
      </c>
      <c r="D19" s="10">
        <v>72.059702154995932</v>
      </c>
      <c r="E19" s="10"/>
      <c r="F19" s="10"/>
      <c r="G19" s="10"/>
    </row>
    <row r="20" spans="1:7" x14ac:dyDescent="0.25">
      <c r="A20" s="11">
        <v>45231.770833333336</v>
      </c>
      <c r="B20" s="10">
        <v>72.059702154995932</v>
      </c>
      <c r="C20" s="10">
        <v>72.059702154995932</v>
      </c>
      <c r="D20" s="10">
        <v>72.059702154995932</v>
      </c>
      <c r="E20" s="10"/>
      <c r="F20" s="10"/>
      <c r="G20" s="10"/>
    </row>
    <row r="21" spans="1:7" x14ac:dyDescent="0.25">
      <c r="A21" s="11">
        <v>45231.8125</v>
      </c>
      <c r="B21" s="10">
        <v>72.059702154995932</v>
      </c>
      <c r="C21" s="10">
        <v>72.059702154995932</v>
      </c>
      <c r="D21" s="10">
        <v>72.059702154995932</v>
      </c>
      <c r="E21" s="10"/>
      <c r="F21" s="10"/>
      <c r="G21" s="10"/>
    </row>
    <row r="22" spans="1:7" x14ac:dyDescent="0.25">
      <c r="A22" s="11">
        <v>45231.854166666664</v>
      </c>
      <c r="B22" s="10">
        <v>72.059702154995932</v>
      </c>
      <c r="C22" s="10">
        <v>72.059702154995932</v>
      </c>
      <c r="D22" s="10">
        <v>72.059702154995932</v>
      </c>
      <c r="E22" s="10"/>
      <c r="F22" s="10"/>
      <c r="G22" s="10"/>
    </row>
    <row r="23" spans="1:7" x14ac:dyDescent="0.25">
      <c r="A23" s="11">
        <v>45231.895833333336</v>
      </c>
      <c r="B23" s="10">
        <v>72.059702154995932</v>
      </c>
      <c r="C23" s="10">
        <v>72.059702154995932</v>
      </c>
      <c r="D23" s="10">
        <v>72.059702154995932</v>
      </c>
      <c r="E23" s="10"/>
      <c r="F23" s="10"/>
      <c r="G23" s="10"/>
    </row>
    <row r="24" spans="1:7" x14ac:dyDescent="0.25">
      <c r="A24" s="11">
        <v>45231.9375</v>
      </c>
      <c r="B24" s="10">
        <v>72.059702154995932</v>
      </c>
      <c r="C24" s="10">
        <v>72.059702154995932</v>
      </c>
      <c r="D24" s="10">
        <v>72.059702154995932</v>
      </c>
      <c r="E24" s="10"/>
      <c r="F24" s="10"/>
      <c r="G24" s="10"/>
    </row>
    <row r="25" spans="1:7" x14ac:dyDescent="0.25">
      <c r="A25" s="11">
        <v>45231.979166666664</v>
      </c>
      <c r="B25" s="10">
        <v>72.059702154995932</v>
      </c>
      <c r="C25" s="10">
        <v>72.059702154995932</v>
      </c>
      <c r="D25" s="10">
        <v>72.059702154995932</v>
      </c>
      <c r="E25" s="10"/>
      <c r="F25" s="10"/>
      <c r="G25" s="10"/>
    </row>
    <row r="26" spans="1:7" x14ac:dyDescent="0.25">
      <c r="A26" s="11">
        <v>45232.020833333336</v>
      </c>
      <c r="B26" s="10">
        <v>72.059702154995932</v>
      </c>
      <c r="C26" s="10">
        <v>72.059702154995932</v>
      </c>
      <c r="D26" s="10">
        <v>72.059702154995932</v>
      </c>
      <c r="E26" s="10"/>
      <c r="F26" s="10"/>
      <c r="G26" s="10"/>
    </row>
    <row r="27" spans="1:7" x14ac:dyDescent="0.25">
      <c r="A27" s="11">
        <v>45232.0625</v>
      </c>
      <c r="B27" s="10">
        <v>72.059702154995932</v>
      </c>
      <c r="C27" s="10">
        <v>72.059702154995932</v>
      </c>
      <c r="D27" s="10">
        <v>72.059702154995932</v>
      </c>
      <c r="E27" s="10"/>
      <c r="F27" s="10"/>
      <c r="G27" s="10"/>
    </row>
    <row r="28" spans="1:7" x14ac:dyDescent="0.25">
      <c r="A28" s="11">
        <v>45232.104166666664</v>
      </c>
      <c r="B28" s="10">
        <v>72.059702154995932</v>
      </c>
      <c r="C28" s="10">
        <v>72.059702154995932</v>
      </c>
      <c r="D28" s="10">
        <v>72.059702154995932</v>
      </c>
      <c r="E28" s="10"/>
      <c r="F28" s="10"/>
      <c r="G28" s="10"/>
    </row>
    <row r="29" spans="1:7" x14ac:dyDescent="0.25">
      <c r="A29" s="11">
        <v>45232.145833333336</v>
      </c>
      <c r="B29" s="10">
        <v>72.059702154995932</v>
      </c>
      <c r="C29" s="10">
        <v>72.059702154995932</v>
      </c>
      <c r="D29" s="10">
        <v>72.059702154995932</v>
      </c>
      <c r="E29" s="10"/>
      <c r="F29" s="10"/>
      <c r="G29" s="10"/>
    </row>
    <row r="30" spans="1:7" x14ac:dyDescent="0.25">
      <c r="A30" s="11">
        <v>45232.1875</v>
      </c>
      <c r="B30" s="10">
        <v>72.059702154995932</v>
      </c>
      <c r="C30" s="10">
        <v>72.059702154995932</v>
      </c>
      <c r="D30" s="10">
        <v>72.059702154995932</v>
      </c>
      <c r="E30" s="10"/>
      <c r="F30" s="10"/>
      <c r="G30" s="10"/>
    </row>
    <row r="31" spans="1:7" x14ac:dyDescent="0.25">
      <c r="A31" s="11">
        <v>45232.229166666664</v>
      </c>
      <c r="B31" s="10">
        <v>72.059702154995932</v>
      </c>
      <c r="C31" s="10">
        <v>72.059702154995932</v>
      </c>
      <c r="D31" s="10">
        <v>72.059702154995932</v>
      </c>
      <c r="E31" s="10"/>
      <c r="F31" s="10"/>
      <c r="G31" s="10"/>
    </row>
    <row r="32" spans="1:7" x14ac:dyDescent="0.25">
      <c r="A32" s="11">
        <v>45232.270833333336</v>
      </c>
      <c r="B32" s="10">
        <v>67.096449816963002</v>
      </c>
      <c r="C32" s="10">
        <v>67.096449816963002</v>
      </c>
      <c r="D32" s="10">
        <v>67.096449816963002</v>
      </c>
      <c r="E32" s="10"/>
      <c r="F32" s="10"/>
      <c r="G32" s="10"/>
    </row>
    <row r="33" spans="1:7" x14ac:dyDescent="0.25">
      <c r="A33" s="11">
        <v>45232.3125</v>
      </c>
      <c r="B33" s="10">
        <v>55.92992848040668</v>
      </c>
      <c r="C33" s="10">
        <v>55.92992848040668</v>
      </c>
      <c r="D33" s="10">
        <v>55.92992848040668</v>
      </c>
      <c r="E33" s="10"/>
      <c r="F33" s="10"/>
      <c r="G33" s="10"/>
    </row>
    <row r="34" spans="1:7" x14ac:dyDescent="0.25">
      <c r="A34" s="11">
        <v>45232.354166666664</v>
      </c>
      <c r="B34" s="10">
        <v>42.458876392849398</v>
      </c>
      <c r="C34" s="10">
        <v>42.458876392849398</v>
      </c>
      <c r="D34" s="10">
        <v>42.458876392849398</v>
      </c>
      <c r="E34" s="10"/>
      <c r="F34" s="10"/>
      <c r="G34" s="10"/>
    </row>
    <row r="35" spans="1:7" x14ac:dyDescent="0.25">
      <c r="A35" s="11">
        <v>45232.395833333336</v>
      </c>
      <c r="B35" s="10">
        <v>26.267756801047803</v>
      </c>
      <c r="C35" s="10">
        <v>26.267756801047803</v>
      </c>
      <c r="D35" s="10">
        <v>26.267756801047803</v>
      </c>
      <c r="E35" s="10"/>
      <c r="F35" s="10"/>
      <c r="G35" s="10"/>
    </row>
    <row r="36" spans="1:7" x14ac:dyDescent="0.25">
      <c r="A36" s="11">
        <v>45232.4375</v>
      </c>
      <c r="B36" s="10">
        <v>10.9909206300599</v>
      </c>
      <c r="C36" s="10">
        <v>10.9909206300599</v>
      </c>
      <c r="D36" s="10">
        <v>10.9909206300599</v>
      </c>
      <c r="E36" s="10"/>
      <c r="F36" s="10"/>
      <c r="G36" s="10"/>
    </row>
    <row r="37" spans="1:7" x14ac:dyDescent="0.25">
      <c r="A37" s="11">
        <v>45232.479166666664</v>
      </c>
      <c r="B37" s="10">
        <v>17.027642930422079</v>
      </c>
      <c r="C37" s="10">
        <v>17.027642930422079</v>
      </c>
      <c r="D37" s="10">
        <v>17.027642930422079</v>
      </c>
      <c r="E37" s="10"/>
      <c r="F37" s="10"/>
      <c r="G37" s="10"/>
    </row>
    <row r="38" spans="1:7" x14ac:dyDescent="0.25">
      <c r="A38" s="11">
        <v>45232.520833333336</v>
      </c>
      <c r="B38" s="10">
        <v>41.276562142011393</v>
      </c>
      <c r="C38" s="10">
        <v>41.276562142011393</v>
      </c>
      <c r="D38" s="10">
        <v>41.276562142011393</v>
      </c>
      <c r="E38" s="10"/>
      <c r="F38" s="10"/>
      <c r="G38" s="10"/>
    </row>
    <row r="39" spans="1:7" x14ac:dyDescent="0.25">
      <c r="A39" s="11">
        <v>45232.5625</v>
      </c>
      <c r="B39" s="10">
        <v>63.060039837161099</v>
      </c>
      <c r="C39" s="10">
        <v>63.060039837161099</v>
      </c>
      <c r="D39" s="10">
        <v>63.060039837161099</v>
      </c>
      <c r="E39" s="10"/>
      <c r="F39" s="10"/>
      <c r="G39" s="10"/>
    </row>
    <row r="40" spans="1:7" x14ac:dyDescent="0.25">
      <c r="A40" s="11">
        <v>45232.604166666664</v>
      </c>
      <c r="B40" s="10">
        <v>80.984958843979626</v>
      </c>
      <c r="C40" s="10">
        <v>80.984958843979626</v>
      </c>
      <c r="D40" s="10">
        <v>80.984958843979626</v>
      </c>
      <c r="E40" s="10"/>
      <c r="F40" s="10"/>
      <c r="G40" s="10"/>
    </row>
    <row r="41" spans="1:7" x14ac:dyDescent="0.25">
      <c r="A41" s="11">
        <v>45232.645833333336</v>
      </c>
      <c r="B41" s="10">
        <v>95.648762818652926</v>
      </c>
      <c r="C41" s="10">
        <v>95.648762818652926</v>
      </c>
      <c r="D41" s="10">
        <v>95.648762818652926</v>
      </c>
      <c r="E41" s="10"/>
      <c r="F41" s="10"/>
      <c r="G41" s="10"/>
    </row>
    <row r="42" spans="1:7" x14ac:dyDescent="0.25">
      <c r="A42" s="11">
        <v>45232.6875</v>
      </c>
      <c r="B42" s="10">
        <v>87.186065196823193</v>
      </c>
      <c r="C42" s="10">
        <v>87.186065196823193</v>
      </c>
      <c r="D42" s="10">
        <v>87.186065196823193</v>
      </c>
      <c r="E42" s="10"/>
      <c r="F42" s="10"/>
      <c r="G42" s="10"/>
    </row>
    <row r="43" spans="1:7" x14ac:dyDescent="0.25">
      <c r="A43" s="11">
        <v>45232.729166666664</v>
      </c>
      <c r="B43" s="10">
        <v>72.059702154995932</v>
      </c>
      <c r="C43" s="10">
        <v>72.059702154995932</v>
      </c>
      <c r="D43" s="10">
        <v>72.059702154995932</v>
      </c>
      <c r="E43" s="10"/>
      <c r="F43" s="10"/>
      <c r="G43" s="10"/>
    </row>
    <row r="44" spans="1:7" x14ac:dyDescent="0.25">
      <c r="A44" s="11">
        <v>45232.770833333336</v>
      </c>
      <c r="B44" s="10">
        <v>72.059702154995932</v>
      </c>
      <c r="C44" s="10">
        <v>72.059702154995932</v>
      </c>
      <c r="D44" s="10">
        <v>72.059702154995932</v>
      </c>
      <c r="E44" s="10"/>
      <c r="F44" s="10"/>
      <c r="G44" s="10"/>
    </row>
    <row r="45" spans="1:7" x14ac:dyDescent="0.25">
      <c r="A45" s="11">
        <v>45232.8125</v>
      </c>
      <c r="B45" s="10">
        <v>72.059702154995932</v>
      </c>
      <c r="C45" s="10">
        <v>72.059702154995932</v>
      </c>
      <c r="D45" s="10">
        <v>72.059702154995932</v>
      </c>
      <c r="E45" s="10"/>
      <c r="F45" s="10"/>
      <c r="G45" s="10"/>
    </row>
    <row r="46" spans="1:7" x14ac:dyDescent="0.25">
      <c r="A46" s="11">
        <v>45232.854166666664</v>
      </c>
      <c r="B46" s="10">
        <v>72.059702154995932</v>
      </c>
      <c r="C46" s="10">
        <v>72.059702154995932</v>
      </c>
      <c r="D46" s="10">
        <v>72.059702154995932</v>
      </c>
      <c r="E46" s="10"/>
      <c r="F46" s="10"/>
      <c r="G46" s="10"/>
    </row>
    <row r="47" spans="1:7" x14ac:dyDescent="0.25">
      <c r="A47" s="11">
        <v>45232.895833333336</v>
      </c>
      <c r="B47" s="10">
        <v>72.059702154995932</v>
      </c>
      <c r="C47" s="10">
        <v>72.059702154995932</v>
      </c>
      <c r="D47" s="10">
        <v>72.059702154995932</v>
      </c>
      <c r="E47" s="10"/>
      <c r="F47" s="10"/>
      <c r="G47" s="10"/>
    </row>
    <row r="48" spans="1:7" x14ac:dyDescent="0.25">
      <c r="A48" s="11">
        <v>45232.9375</v>
      </c>
      <c r="B48" s="10">
        <v>72.059702154995932</v>
      </c>
      <c r="C48" s="10">
        <v>72.059702154995932</v>
      </c>
      <c r="D48" s="10">
        <v>72.059702154995932</v>
      </c>
      <c r="E48" s="10"/>
      <c r="F48" s="10"/>
      <c r="G48" s="10"/>
    </row>
    <row r="49" spans="1:7" x14ac:dyDescent="0.25">
      <c r="A49" s="11">
        <v>45232.979166666664</v>
      </c>
      <c r="B49" s="10">
        <v>72.059702154995932</v>
      </c>
      <c r="C49" s="10">
        <v>72.059702154995932</v>
      </c>
      <c r="D49" s="10">
        <v>72.059702154995932</v>
      </c>
      <c r="E49" s="10"/>
      <c r="F49" s="10"/>
      <c r="G49" s="10"/>
    </row>
    <row r="50" spans="1:7" x14ac:dyDescent="0.25">
      <c r="A50" s="11">
        <v>45233.020833333336</v>
      </c>
      <c r="B50" s="10">
        <v>72.059702154995932</v>
      </c>
      <c r="C50" s="10">
        <v>72.059702154995932</v>
      </c>
      <c r="D50" s="10">
        <v>72.059702154995932</v>
      </c>
      <c r="E50" s="10"/>
      <c r="F50" s="10"/>
      <c r="G50" s="10"/>
    </row>
    <row r="51" spans="1:7" x14ac:dyDescent="0.25">
      <c r="A51" s="11">
        <v>45233.0625</v>
      </c>
      <c r="B51" s="10">
        <v>72.059702154995932</v>
      </c>
      <c r="C51" s="10">
        <v>72.059702154995932</v>
      </c>
      <c r="D51" s="10">
        <v>72.059702154995932</v>
      </c>
      <c r="E51" s="10"/>
      <c r="F51" s="10"/>
      <c r="G51" s="10"/>
    </row>
    <row r="52" spans="1:7" x14ac:dyDescent="0.25">
      <c r="A52" s="11">
        <v>45233.104166666664</v>
      </c>
      <c r="B52" s="10">
        <v>72.059702154995932</v>
      </c>
      <c r="C52" s="10">
        <v>72.059702154995932</v>
      </c>
      <c r="D52" s="10">
        <v>72.059702154995932</v>
      </c>
      <c r="E52" s="10"/>
      <c r="F52" s="10"/>
      <c r="G52" s="10"/>
    </row>
    <row r="53" spans="1:7" x14ac:dyDescent="0.25">
      <c r="A53" s="11">
        <v>45233.145833333336</v>
      </c>
      <c r="B53" s="10">
        <v>72.059702154995932</v>
      </c>
      <c r="C53" s="10">
        <v>72.059702154995932</v>
      </c>
      <c r="D53" s="10">
        <v>72.059702154995932</v>
      </c>
      <c r="E53" s="10"/>
      <c r="F53" s="10"/>
      <c r="G53" s="10"/>
    </row>
    <row r="54" spans="1:7" x14ac:dyDescent="0.25">
      <c r="A54" s="11">
        <v>45233.1875</v>
      </c>
      <c r="B54" s="10">
        <v>72.059702154995932</v>
      </c>
      <c r="C54" s="10">
        <v>72.059702154995932</v>
      </c>
      <c r="D54" s="10">
        <v>72.059702154995932</v>
      </c>
      <c r="E54" s="10"/>
      <c r="F54" s="10"/>
      <c r="G54" s="10"/>
    </row>
    <row r="55" spans="1:7" x14ac:dyDescent="0.25">
      <c r="A55" s="11">
        <v>45233.229166666664</v>
      </c>
      <c r="B55" s="10">
        <v>72.059702154995932</v>
      </c>
      <c r="C55" s="10">
        <v>72.059702154995932</v>
      </c>
      <c r="D55" s="10">
        <v>72.059702154995932</v>
      </c>
      <c r="E55" s="10"/>
      <c r="F55" s="10"/>
      <c r="G55" s="10"/>
    </row>
    <row r="56" spans="1:7" x14ac:dyDescent="0.25">
      <c r="A56" s="11">
        <v>45233.270833333336</v>
      </c>
      <c r="B56" s="10">
        <v>67.205862974875544</v>
      </c>
      <c r="C56" s="10">
        <v>67.205862974875544</v>
      </c>
      <c r="D56" s="10">
        <v>67.205862974875544</v>
      </c>
      <c r="E56" s="10"/>
      <c r="F56" s="10"/>
      <c r="G56" s="10"/>
    </row>
    <row r="57" spans="1:7" x14ac:dyDescent="0.25">
      <c r="A57" s="11">
        <v>45233.3125</v>
      </c>
      <c r="B57" s="10">
        <v>56.156485376578942</v>
      </c>
      <c r="C57" s="10">
        <v>56.156485376578942</v>
      </c>
      <c r="D57" s="10">
        <v>56.156485376578942</v>
      </c>
      <c r="E57" s="10"/>
      <c r="F57" s="10"/>
      <c r="G57" s="10"/>
    </row>
    <row r="58" spans="1:7" x14ac:dyDescent="0.25">
      <c r="A58" s="11">
        <v>45233.354166666664</v>
      </c>
      <c r="B58" s="10">
        <v>42.69335768114091</v>
      </c>
      <c r="C58" s="10">
        <v>42.69335768114091</v>
      </c>
      <c r="D58" s="10">
        <v>42.69335768114091</v>
      </c>
      <c r="E58" s="10"/>
      <c r="F58" s="10"/>
      <c r="G58" s="10"/>
    </row>
    <row r="59" spans="1:7" x14ac:dyDescent="0.25">
      <c r="A59" s="11">
        <v>45233.395833333336</v>
      </c>
      <c r="B59" s="10">
        <v>26.486635427727286</v>
      </c>
      <c r="C59" s="10">
        <v>26.486635427727286</v>
      </c>
      <c r="D59" s="10">
        <v>26.486635427727286</v>
      </c>
      <c r="E59" s="10"/>
      <c r="F59" s="10"/>
      <c r="G59" s="10"/>
    </row>
    <row r="60" spans="1:7" x14ac:dyDescent="0.25">
      <c r="A60" s="11">
        <v>45233.4375</v>
      </c>
      <c r="B60" s="10">
        <v>11.03828652470931</v>
      </c>
      <c r="C60" s="10">
        <v>11.03828652470931</v>
      </c>
      <c r="D60" s="10">
        <v>11.03828652470931</v>
      </c>
      <c r="E60" s="10"/>
      <c r="F60" s="10"/>
      <c r="G60" s="10"/>
    </row>
    <row r="61" spans="1:7" x14ac:dyDescent="0.25">
      <c r="A61" s="11">
        <v>45233.479166666664</v>
      </c>
      <c r="B61" s="10">
        <v>16.994891404318228</v>
      </c>
      <c r="C61" s="10">
        <v>16.994891404318228</v>
      </c>
      <c r="D61" s="10">
        <v>16.994891404318228</v>
      </c>
      <c r="E61" s="10"/>
      <c r="F61" s="10"/>
      <c r="G61" s="10"/>
    </row>
    <row r="62" spans="1:7" x14ac:dyDescent="0.25">
      <c r="A62" s="11">
        <v>45233.520833333336</v>
      </c>
      <c r="B62" s="10">
        <v>41.383248877440181</v>
      </c>
      <c r="C62" s="10">
        <v>41.383248877440181</v>
      </c>
      <c r="D62" s="10">
        <v>41.383248877440181</v>
      </c>
      <c r="E62" s="10"/>
      <c r="F62" s="10"/>
      <c r="G62" s="10"/>
    </row>
    <row r="63" spans="1:7" x14ac:dyDescent="0.25">
      <c r="A63" s="11">
        <v>45233.5625</v>
      </c>
      <c r="B63" s="10">
        <v>63.259438653843347</v>
      </c>
      <c r="C63" s="10">
        <v>63.259438653843347</v>
      </c>
      <c r="D63" s="10">
        <v>63.259438653843347</v>
      </c>
      <c r="E63" s="10"/>
      <c r="F63" s="10"/>
      <c r="G63" s="10"/>
    </row>
    <row r="64" spans="1:7" x14ac:dyDescent="0.25">
      <c r="A64" s="11">
        <v>45233.604166666664</v>
      </c>
      <c r="B64" s="10">
        <v>81.218554302583925</v>
      </c>
      <c r="C64" s="10">
        <v>81.218554302583925</v>
      </c>
      <c r="D64" s="10">
        <v>81.218554302583925</v>
      </c>
      <c r="E64" s="10"/>
      <c r="F64" s="10"/>
      <c r="G64" s="10"/>
    </row>
    <row r="65" spans="1:7" x14ac:dyDescent="0.25">
      <c r="A65" s="11">
        <v>45233.645833333336</v>
      </c>
      <c r="B65" s="10">
        <v>95.883163985095948</v>
      </c>
      <c r="C65" s="10">
        <v>95.883163985095948</v>
      </c>
      <c r="D65" s="10">
        <v>95.883163985095948</v>
      </c>
      <c r="E65" s="10"/>
      <c r="F65" s="10"/>
      <c r="G65" s="10"/>
    </row>
    <row r="66" spans="1:7" x14ac:dyDescent="0.25">
      <c r="A66" s="11">
        <v>45233.6875</v>
      </c>
      <c r="B66" s="10">
        <v>87.301006641809821</v>
      </c>
      <c r="C66" s="10">
        <v>87.301006641809821</v>
      </c>
      <c r="D66" s="10">
        <v>87.301006641809821</v>
      </c>
      <c r="E66" s="10"/>
      <c r="F66" s="10"/>
      <c r="G66" s="10"/>
    </row>
    <row r="67" spans="1:7" x14ac:dyDescent="0.25">
      <c r="A67" s="11">
        <v>45233.729166666664</v>
      </c>
      <c r="B67" s="10">
        <v>72.059702154995932</v>
      </c>
      <c r="C67" s="10">
        <v>72.059702154995932</v>
      </c>
      <c r="D67" s="10">
        <v>72.059702154995932</v>
      </c>
      <c r="E67" s="10"/>
      <c r="F67" s="10"/>
      <c r="G67" s="10"/>
    </row>
    <row r="68" spans="1:7" x14ac:dyDescent="0.25">
      <c r="A68" s="11">
        <v>45233.770833333336</v>
      </c>
      <c r="B68" s="10">
        <v>72.059702154995932</v>
      </c>
      <c r="C68" s="10">
        <v>72.059702154995932</v>
      </c>
      <c r="D68" s="10">
        <v>72.059702154995932</v>
      </c>
      <c r="E68" s="10"/>
      <c r="F68" s="10"/>
      <c r="G68" s="10"/>
    </row>
    <row r="69" spans="1:7" x14ac:dyDescent="0.25">
      <c r="A69" s="11">
        <v>45233.8125</v>
      </c>
      <c r="B69" s="10">
        <v>72.059702154995932</v>
      </c>
      <c r="C69" s="10">
        <v>72.059702154995932</v>
      </c>
      <c r="D69" s="10">
        <v>72.059702154995932</v>
      </c>
      <c r="E69" s="10"/>
      <c r="F69" s="10"/>
      <c r="G69" s="10"/>
    </row>
    <row r="70" spans="1:7" x14ac:dyDescent="0.25">
      <c r="A70" s="11">
        <v>45233.854166666664</v>
      </c>
      <c r="B70" s="10">
        <v>72.059702154995932</v>
      </c>
      <c r="C70" s="10">
        <v>72.059702154995932</v>
      </c>
      <c r="D70" s="10">
        <v>72.059702154995932</v>
      </c>
      <c r="E70" s="10"/>
      <c r="F70" s="10"/>
      <c r="G70" s="10"/>
    </row>
    <row r="71" spans="1:7" x14ac:dyDescent="0.25">
      <c r="A71" s="11">
        <v>45233.895833333336</v>
      </c>
      <c r="B71" s="10">
        <v>72.059702154995932</v>
      </c>
      <c r="C71" s="10">
        <v>72.059702154995932</v>
      </c>
      <c r="D71" s="10">
        <v>72.059702154995932</v>
      </c>
      <c r="E71" s="10"/>
      <c r="F71" s="10"/>
      <c r="G71" s="10"/>
    </row>
    <row r="72" spans="1:7" x14ac:dyDescent="0.25">
      <c r="A72" s="11">
        <v>45233.9375</v>
      </c>
      <c r="B72" s="10">
        <v>72.059702154995932</v>
      </c>
      <c r="C72" s="10">
        <v>72.059702154995932</v>
      </c>
      <c r="D72" s="10">
        <v>72.059702154995932</v>
      </c>
      <c r="E72" s="10"/>
      <c r="F72" s="10"/>
      <c r="G72" s="10"/>
    </row>
    <row r="73" spans="1:7" x14ac:dyDescent="0.25">
      <c r="A73" s="11">
        <v>45233.979166666664</v>
      </c>
      <c r="B73" s="10">
        <v>72.059702154995932</v>
      </c>
      <c r="C73" s="10">
        <v>72.059702154995932</v>
      </c>
      <c r="D73" s="10">
        <v>72.059702154995932</v>
      </c>
      <c r="E73" s="10"/>
      <c r="F73" s="10"/>
      <c r="G73" s="10"/>
    </row>
    <row r="74" spans="1:7" x14ac:dyDescent="0.25">
      <c r="A74" s="11">
        <v>45234.020833333336</v>
      </c>
      <c r="B74" s="10">
        <v>72.059702154995932</v>
      </c>
      <c r="C74" s="10">
        <v>72.059702154995932</v>
      </c>
      <c r="D74" s="10">
        <v>72.059702154995932</v>
      </c>
      <c r="E74" s="10"/>
      <c r="F74" s="10"/>
      <c r="G74" s="10"/>
    </row>
    <row r="75" spans="1:7" x14ac:dyDescent="0.25">
      <c r="A75" s="11">
        <v>45234.0625</v>
      </c>
      <c r="B75" s="10">
        <v>72.059702154995932</v>
      </c>
      <c r="C75" s="10">
        <v>72.059702154995932</v>
      </c>
      <c r="D75" s="10">
        <v>72.059702154995932</v>
      </c>
      <c r="E75" s="10"/>
      <c r="F75" s="10"/>
      <c r="G75" s="10"/>
    </row>
    <row r="76" spans="1:7" x14ac:dyDescent="0.25">
      <c r="A76" s="11">
        <v>45234.104166666664</v>
      </c>
      <c r="B76" s="10">
        <v>72.059702154995932</v>
      </c>
      <c r="C76" s="10">
        <v>72.059702154995932</v>
      </c>
      <c r="D76" s="10">
        <v>72.059702154995932</v>
      </c>
      <c r="E76" s="10"/>
      <c r="F76" s="10"/>
      <c r="G76" s="10"/>
    </row>
    <row r="77" spans="1:7" x14ac:dyDescent="0.25">
      <c r="A77" s="11">
        <v>45234.145833333336</v>
      </c>
      <c r="B77" s="10">
        <v>72.059702154995932</v>
      </c>
      <c r="C77" s="10">
        <v>72.059702154995932</v>
      </c>
      <c r="D77" s="10">
        <v>72.059702154995932</v>
      </c>
      <c r="E77" s="10"/>
      <c r="F77" s="10"/>
      <c r="G77" s="10"/>
    </row>
    <row r="78" spans="1:7" x14ac:dyDescent="0.25">
      <c r="A78" s="11">
        <v>45234.1875</v>
      </c>
      <c r="B78" s="10">
        <v>72.059702154995932</v>
      </c>
      <c r="C78" s="10">
        <v>72.059702154995932</v>
      </c>
      <c r="D78" s="10">
        <v>72.059702154995932</v>
      </c>
      <c r="E78" s="10"/>
      <c r="F78" s="10"/>
      <c r="G78" s="10"/>
    </row>
    <row r="79" spans="1:7" x14ac:dyDescent="0.25">
      <c r="A79" s="11">
        <v>45234.229166666664</v>
      </c>
      <c r="B79" s="10">
        <v>72.059702154995932</v>
      </c>
      <c r="C79" s="10">
        <v>72.059702154995932</v>
      </c>
      <c r="D79" s="10">
        <v>72.059702154995932</v>
      </c>
      <c r="E79" s="10"/>
      <c r="F79" s="10"/>
      <c r="G79" s="10"/>
    </row>
    <row r="80" spans="1:7" x14ac:dyDescent="0.25">
      <c r="A80" s="11">
        <v>45234.270833333336</v>
      </c>
      <c r="B80" s="10">
        <v>67.315374979599639</v>
      </c>
      <c r="C80" s="10">
        <v>67.315374979599639</v>
      </c>
      <c r="D80" s="10">
        <v>67.315374979599639</v>
      </c>
      <c r="E80" s="10"/>
      <c r="F80" s="10"/>
      <c r="G80" s="10"/>
    </row>
    <row r="81" spans="1:7" x14ac:dyDescent="0.25">
      <c r="A81" s="11">
        <v>45234.3125</v>
      </c>
      <c r="B81" s="10">
        <v>56.383767315819433</v>
      </c>
      <c r="C81" s="10">
        <v>56.383767315819433</v>
      </c>
      <c r="D81" s="10">
        <v>56.383767315819433</v>
      </c>
      <c r="E81" s="10"/>
      <c r="F81" s="10"/>
      <c r="G81" s="10"/>
    </row>
    <row r="82" spans="1:7" x14ac:dyDescent="0.25">
      <c r="A82" s="11">
        <v>45234.354166666664</v>
      </c>
      <c r="B82" s="10">
        <v>42.92970879624599</v>
      </c>
      <c r="C82" s="10">
        <v>42.92970879624599</v>
      </c>
      <c r="D82" s="10">
        <v>42.92970879624599</v>
      </c>
      <c r="E82" s="10"/>
      <c r="F82" s="10"/>
      <c r="G82" s="10"/>
    </row>
    <row r="83" spans="1:7" x14ac:dyDescent="0.25">
      <c r="A83" s="11">
        <v>45234.395833333336</v>
      </c>
      <c r="B83" s="10">
        <v>26.7088778841457</v>
      </c>
      <c r="C83" s="10">
        <v>26.7088778841457</v>
      </c>
      <c r="D83" s="10">
        <v>26.7088778841457</v>
      </c>
      <c r="E83" s="10"/>
      <c r="F83" s="10"/>
      <c r="G83" s="10"/>
    </row>
    <row r="84" spans="1:7" x14ac:dyDescent="0.25">
      <c r="A84" s="11">
        <v>45234.4375</v>
      </c>
      <c r="B84" s="10">
        <v>11.084915467442521</v>
      </c>
      <c r="C84" s="10">
        <v>11.084915467442521</v>
      </c>
      <c r="D84" s="10">
        <v>11.084915467442521</v>
      </c>
      <c r="E84" s="10"/>
      <c r="F84" s="10"/>
      <c r="G84" s="10"/>
    </row>
    <row r="85" spans="1:7" x14ac:dyDescent="0.25">
      <c r="A85" s="11">
        <v>45234.479166666664</v>
      </c>
      <c r="B85" s="10">
        <v>16.956417285728161</v>
      </c>
      <c r="C85" s="10">
        <v>16.956417285728161</v>
      </c>
      <c r="D85" s="10">
        <v>16.956417285728161</v>
      </c>
      <c r="E85" s="10"/>
      <c r="F85" s="10"/>
      <c r="G85" s="10"/>
    </row>
    <row r="86" spans="1:7" x14ac:dyDescent="0.25">
      <c r="A86" s="11">
        <v>45234.520833333336</v>
      </c>
      <c r="B86" s="10">
        <v>41.484494410799464</v>
      </c>
      <c r="C86" s="10">
        <v>41.484494410799464</v>
      </c>
      <c r="D86" s="10">
        <v>41.484494410799464</v>
      </c>
      <c r="E86" s="10"/>
      <c r="F86" s="10"/>
      <c r="G86" s="10"/>
    </row>
    <row r="87" spans="1:7" x14ac:dyDescent="0.25">
      <c r="A87" s="11">
        <v>45234.5625</v>
      </c>
      <c r="B87" s="10">
        <v>63.453778564968253</v>
      </c>
      <c r="C87" s="10">
        <v>63.453778564968253</v>
      </c>
      <c r="D87" s="10">
        <v>63.453778564968253</v>
      </c>
      <c r="E87" s="10"/>
      <c r="F87" s="10"/>
      <c r="G87" s="10"/>
    </row>
    <row r="88" spans="1:7" x14ac:dyDescent="0.25">
      <c r="A88" s="11">
        <v>45234.604166666664</v>
      </c>
      <c r="B88" s="10">
        <v>81.447195189778228</v>
      </c>
      <c r="C88" s="10">
        <v>81.447195189778228</v>
      </c>
      <c r="D88" s="10">
        <v>81.447195189778228</v>
      </c>
      <c r="E88" s="10"/>
      <c r="F88" s="10"/>
      <c r="G88" s="10"/>
    </row>
    <row r="89" spans="1:7" x14ac:dyDescent="0.25">
      <c r="A89" s="11">
        <v>45234.645833333336</v>
      </c>
      <c r="B89" s="10">
        <v>96.112610841222789</v>
      </c>
      <c r="C89" s="10">
        <v>96.112610841222789</v>
      </c>
      <c r="D89" s="10">
        <v>96.112610841222789</v>
      </c>
      <c r="E89" s="10"/>
      <c r="F89" s="10"/>
      <c r="G89" s="10"/>
    </row>
    <row r="90" spans="1:7" x14ac:dyDescent="0.25">
      <c r="A90" s="11">
        <v>45234.6875</v>
      </c>
      <c r="B90" s="10">
        <v>87.413465203014425</v>
      </c>
      <c r="C90" s="10">
        <v>87.413465203014425</v>
      </c>
      <c r="D90" s="10">
        <v>87.413465203014425</v>
      </c>
      <c r="E90" s="10"/>
      <c r="F90" s="10"/>
      <c r="G90" s="10"/>
    </row>
    <row r="91" spans="1:7" x14ac:dyDescent="0.25">
      <c r="A91" s="11">
        <v>45234.729166666664</v>
      </c>
      <c r="B91" s="10">
        <v>72.059702154995932</v>
      </c>
      <c r="C91" s="10">
        <v>72.059702154995932</v>
      </c>
      <c r="D91" s="10">
        <v>72.059702154995932</v>
      </c>
      <c r="E91" s="10"/>
      <c r="F91" s="10"/>
      <c r="G91" s="10"/>
    </row>
    <row r="92" spans="1:7" x14ac:dyDescent="0.25">
      <c r="A92" s="11">
        <v>45234.770833333336</v>
      </c>
      <c r="B92" s="10">
        <v>72.059702154995932</v>
      </c>
      <c r="C92" s="10">
        <v>72.059702154995932</v>
      </c>
      <c r="D92" s="10">
        <v>72.059702154995932</v>
      </c>
      <c r="E92" s="10"/>
      <c r="F92" s="10"/>
      <c r="G92" s="10"/>
    </row>
    <row r="93" spans="1:7" x14ac:dyDescent="0.25">
      <c r="A93" s="11">
        <v>45234.8125</v>
      </c>
      <c r="B93" s="10">
        <v>72.059702154995932</v>
      </c>
      <c r="C93" s="10">
        <v>72.059702154995932</v>
      </c>
      <c r="D93" s="10">
        <v>72.059702154995932</v>
      </c>
      <c r="E93" s="10"/>
      <c r="F93" s="10"/>
      <c r="G93" s="10"/>
    </row>
    <row r="94" spans="1:7" x14ac:dyDescent="0.25">
      <c r="A94" s="11">
        <v>45234.854166666664</v>
      </c>
      <c r="B94" s="10">
        <v>72.059702154995932</v>
      </c>
      <c r="C94" s="10">
        <v>72.059702154995932</v>
      </c>
      <c r="D94" s="10">
        <v>72.059702154995932</v>
      </c>
      <c r="E94" s="10"/>
      <c r="F94" s="10"/>
      <c r="G94" s="10"/>
    </row>
    <row r="95" spans="1:7" x14ac:dyDescent="0.25">
      <c r="A95" s="11">
        <v>45234.895833333336</v>
      </c>
      <c r="B95" s="10">
        <v>72.059702154995932</v>
      </c>
      <c r="C95" s="10">
        <v>72.059702154995932</v>
      </c>
      <c r="D95" s="10">
        <v>72.059702154995932</v>
      </c>
      <c r="E95" s="10"/>
      <c r="F95" s="10"/>
      <c r="G95" s="10"/>
    </row>
    <row r="96" spans="1:7" x14ac:dyDescent="0.25">
      <c r="A96" s="11">
        <v>45234.9375</v>
      </c>
      <c r="B96" s="10">
        <v>72.059702154995932</v>
      </c>
      <c r="C96" s="10">
        <v>72.059702154995932</v>
      </c>
      <c r="D96" s="10">
        <v>72.059702154995932</v>
      </c>
      <c r="E96" s="10"/>
      <c r="F96" s="10"/>
      <c r="G96" s="10"/>
    </row>
    <row r="97" spans="1:7" x14ac:dyDescent="0.25">
      <c r="A97" s="11">
        <v>45234.979166666664</v>
      </c>
      <c r="B97" s="10">
        <v>72.059702154995932</v>
      </c>
      <c r="C97" s="10">
        <v>72.059702154995932</v>
      </c>
      <c r="D97" s="10">
        <v>72.059702154995932</v>
      </c>
      <c r="E97" s="10"/>
      <c r="F97" s="10"/>
      <c r="G97" s="10"/>
    </row>
    <row r="98" spans="1:7" x14ac:dyDescent="0.25">
      <c r="A98" s="11">
        <v>45235.020833333336</v>
      </c>
      <c r="B98" s="10">
        <v>72.059702154995932</v>
      </c>
      <c r="C98" s="10">
        <v>72.059702154995932</v>
      </c>
      <c r="D98" s="10">
        <v>72.059702154995932</v>
      </c>
      <c r="E98" s="10"/>
      <c r="F98" s="10"/>
      <c r="G98" s="10"/>
    </row>
    <row r="99" spans="1:7" x14ac:dyDescent="0.25">
      <c r="A99" s="11">
        <v>45235.0625</v>
      </c>
      <c r="B99" s="10">
        <v>72.059702154995932</v>
      </c>
      <c r="C99" s="10">
        <v>72.059702154995932</v>
      </c>
      <c r="D99" s="10">
        <v>72.059702154995932</v>
      </c>
      <c r="E99" s="10"/>
      <c r="F99" s="10"/>
      <c r="G99" s="10"/>
    </row>
    <row r="100" spans="1:7" x14ac:dyDescent="0.25">
      <c r="A100" s="11">
        <v>45235.104166666664</v>
      </c>
      <c r="B100" s="10">
        <v>72.059702154995932</v>
      </c>
      <c r="C100" s="10">
        <v>72.059702154995932</v>
      </c>
      <c r="D100" s="10">
        <v>72.059702154995932</v>
      </c>
      <c r="E100" s="10"/>
      <c r="F100" s="10"/>
      <c r="G100" s="10"/>
    </row>
    <row r="101" spans="1:7" x14ac:dyDescent="0.25">
      <c r="A101" s="11">
        <v>45235.145833333336</v>
      </c>
      <c r="B101" s="10">
        <v>72.059702154995932</v>
      </c>
      <c r="C101" s="10">
        <v>72.059702154995932</v>
      </c>
      <c r="D101" s="10">
        <v>72.059702154995932</v>
      </c>
      <c r="E101" s="10"/>
      <c r="F101" s="10"/>
      <c r="G101" s="10"/>
    </row>
    <row r="102" spans="1:7" x14ac:dyDescent="0.25">
      <c r="A102" s="11">
        <v>45235.1875</v>
      </c>
      <c r="B102" s="10">
        <v>72.059702154995932</v>
      </c>
      <c r="C102" s="10">
        <v>72.059702154995932</v>
      </c>
      <c r="D102" s="10">
        <v>72.059702154995932</v>
      </c>
      <c r="E102" s="10"/>
      <c r="F102" s="10"/>
      <c r="G102" s="10"/>
    </row>
    <row r="103" spans="1:7" x14ac:dyDescent="0.25">
      <c r="A103" s="11">
        <v>45235.229166666664</v>
      </c>
      <c r="B103">
        <v>72.059702154995932</v>
      </c>
      <c r="C103">
        <v>72.059702154995932</v>
      </c>
      <c r="D103">
        <v>72.059702154995932</v>
      </c>
      <c r="E103" s="10"/>
      <c r="F103" s="10"/>
      <c r="G103" s="10"/>
    </row>
    <row r="104" spans="1:7" x14ac:dyDescent="0.25">
      <c r="A104" s="11">
        <v>45235.270833333336</v>
      </c>
      <c r="B104">
        <v>67.424925535965741</v>
      </c>
      <c r="C104">
        <v>67.424925535965741</v>
      </c>
      <c r="D104">
        <v>67.424925535965741</v>
      </c>
    </row>
    <row r="105" spans="1:7" x14ac:dyDescent="0.25">
      <c r="A105" s="11">
        <v>45235.3125</v>
      </c>
      <c r="B105">
        <v>56.611665296973435</v>
      </c>
      <c r="C105">
        <v>56.611665296973435</v>
      </c>
      <c r="D105">
        <v>56.611665296973435</v>
      </c>
    </row>
    <row r="106" spans="1:7" x14ac:dyDescent="0.25">
      <c r="A106" s="11">
        <v>45235.354166666664</v>
      </c>
      <c r="B106">
        <v>43.167834995338808</v>
      </c>
      <c r="C106">
        <v>43.167834995338808</v>
      </c>
      <c r="D106">
        <v>43.167834995338808</v>
      </c>
    </row>
    <row r="107" spans="1:7" x14ac:dyDescent="0.25">
      <c r="A107" s="11">
        <v>45235.395833333336</v>
      </c>
      <c r="B107">
        <v>26.934417756798091</v>
      </c>
      <c r="C107">
        <v>26.934417756798091</v>
      </c>
      <c r="D107">
        <v>26.934417756798091</v>
      </c>
    </row>
    <row r="108" spans="1:7" x14ac:dyDescent="0.25">
      <c r="A108" s="11">
        <v>45235.4375</v>
      </c>
      <c r="B108">
        <v>11.130746997378406</v>
      </c>
      <c r="C108">
        <v>11.130746997378406</v>
      </c>
      <c r="D108">
        <v>11.130746997378406</v>
      </c>
    </row>
    <row r="109" spans="1:7" x14ac:dyDescent="0.25">
      <c r="A109" s="11">
        <v>45235.479166666664</v>
      </c>
      <c r="B109">
        <v>16.912087853049481</v>
      </c>
      <c r="C109">
        <v>16.912087853049481</v>
      </c>
      <c r="D109">
        <v>16.912087853049481</v>
      </c>
    </row>
    <row r="110" spans="1:7" x14ac:dyDescent="0.25">
      <c r="A110" s="11">
        <v>45235.520833333336</v>
      </c>
      <c r="B110">
        <v>41.580098974713763</v>
      </c>
      <c r="C110">
        <v>41.580098974713763</v>
      </c>
      <c r="D110">
        <v>41.580098974713763</v>
      </c>
    </row>
    <row r="111" spans="1:7" x14ac:dyDescent="0.25">
      <c r="A111" s="11">
        <v>45235.5625</v>
      </c>
      <c r="B111">
        <v>63.642857800114136</v>
      </c>
      <c r="C111">
        <v>63.642857800114136</v>
      </c>
      <c r="D111">
        <v>63.642857800114136</v>
      </c>
    </row>
    <row r="112" spans="1:7" x14ac:dyDescent="0.25">
      <c r="A112" s="11">
        <v>45235.604166666664</v>
      </c>
      <c r="B112">
        <v>81.670707807884767</v>
      </c>
      <c r="C112">
        <v>81.670707807884767</v>
      </c>
      <c r="D112">
        <v>81.670707807884767</v>
      </c>
    </row>
    <row r="113" spans="1:4" x14ac:dyDescent="0.25">
      <c r="A113" s="11">
        <v>45235.645833333336</v>
      </c>
      <c r="B113">
        <v>96.336960045612187</v>
      </c>
      <c r="C113">
        <v>96.336960045612187</v>
      </c>
      <c r="D113">
        <v>96.336960045612187</v>
      </c>
    </row>
    <row r="114" spans="1:4" x14ac:dyDescent="0.25">
      <c r="A114" s="11">
        <v>45235.6875</v>
      </c>
      <c r="B114">
        <v>87.523376596261784</v>
      </c>
      <c r="C114">
        <v>87.523376596261784</v>
      </c>
      <c r="D114">
        <v>87.523376596261784</v>
      </c>
    </row>
    <row r="115" spans="1:4" x14ac:dyDescent="0.25">
      <c r="A115" s="11">
        <v>45235.729166666664</v>
      </c>
      <c r="B115">
        <v>72.059702154995932</v>
      </c>
      <c r="C115">
        <v>72.059702154995932</v>
      </c>
      <c r="D115">
        <v>72.059702154995932</v>
      </c>
    </row>
    <row r="116" spans="1:4" x14ac:dyDescent="0.25">
      <c r="A116" s="11">
        <v>45235.770833333336</v>
      </c>
      <c r="B116">
        <v>72.059702154995932</v>
      </c>
      <c r="C116">
        <v>72.059702154995932</v>
      </c>
      <c r="D116">
        <v>72.059702154995932</v>
      </c>
    </row>
    <row r="117" spans="1:4" x14ac:dyDescent="0.25">
      <c r="A117" s="11">
        <v>45235.8125</v>
      </c>
      <c r="B117">
        <v>72.059702154995932</v>
      </c>
      <c r="C117">
        <v>72.059702154995932</v>
      </c>
      <c r="D117">
        <v>72.059702154995932</v>
      </c>
    </row>
    <row r="118" spans="1:4" x14ac:dyDescent="0.25">
      <c r="A118" s="11">
        <v>45235.854166666664</v>
      </c>
      <c r="B118">
        <v>72.059702154995932</v>
      </c>
      <c r="C118">
        <v>72.059702154995932</v>
      </c>
      <c r="D118">
        <v>72.059702154995932</v>
      </c>
    </row>
    <row r="119" spans="1:4" x14ac:dyDescent="0.25">
      <c r="A119" s="11">
        <v>45235.895833333336</v>
      </c>
      <c r="B119">
        <v>72.059702154995932</v>
      </c>
      <c r="C119">
        <v>72.059702154995932</v>
      </c>
      <c r="D119">
        <v>72.059702154995932</v>
      </c>
    </row>
    <row r="120" spans="1:4" x14ac:dyDescent="0.25">
      <c r="A120" s="11">
        <v>45235.9375</v>
      </c>
      <c r="B120">
        <v>72.059702154995932</v>
      </c>
      <c r="C120">
        <v>72.059702154995932</v>
      </c>
      <c r="D120">
        <v>72.059702154995932</v>
      </c>
    </row>
    <row r="121" spans="1:4" x14ac:dyDescent="0.25">
      <c r="A121" s="11">
        <v>45235.979166666664</v>
      </c>
      <c r="B121">
        <v>72.059702154995932</v>
      </c>
      <c r="C121">
        <v>72.059702154995932</v>
      </c>
      <c r="D121">
        <v>72.059702154995932</v>
      </c>
    </row>
    <row r="122" spans="1:4" x14ac:dyDescent="0.25">
      <c r="A122" s="11"/>
    </row>
    <row r="123" spans="1:4" x14ac:dyDescent="0.25">
      <c r="A123" s="11"/>
    </row>
    <row r="124" spans="1:4" x14ac:dyDescent="0.25">
      <c r="A124" s="11"/>
    </row>
    <row r="125" spans="1:4" x14ac:dyDescent="0.25">
      <c r="A125" s="11"/>
    </row>
    <row r="126" spans="1:4" x14ac:dyDescent="0.25">
      <c r="A126" s="11"/>
    </row>
    <row r="127" spans="1:4" x14ac:dyDescent="0.25">
      <c r="A127" s="11"/>
    </row>
    <row r="128" spans="1:4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  <row r="367" spans="1:1" x14ac:dyDescent="0.25">
      <c r="A367" s="11"/>
    </row>
    <row r="368" spans="1:1" x14ac:dyDescent="0.25">
      <c r="A368" s="11"/>
    </row>
    <row r="369" spans="1:1" x14ac:dyDescent="0.25">
      <c r="A369" s="11"/>
    </row>
    <row r="370" spans="1:1" x14ac:dyDescent="0.25">
      <c r="A370" s="11"/>
    </row>
    <row r="371" spans="1:1" x14ac:dyDescent="0.25">
      <c r="A371" s="11"/>
    </row>
    <row r="372" spans="1:1" x14ac:dyDescent="0.25">
      <c r="A372" s="11"/>
    </row>
    <row r="373" spans="1:1" x14ac:dyDescent="0.25">
      <c r="A373" s="11"/>
    </row>
    <row r="374" spans="1:1" x14ac:dyDescent="0.25">
      <c r="A374" s="11"/>
    </row>
    <row r="375" spans="1:1" x14ac:dyDescent="0.25">
      <c r="A375" s="11"/>
    </row>
    <row r="376" spans="1:1" x14ac:dyDescent="0.25">
      <c r="A376" s="11"/>
    </row>
    <row r="377" spans="1:1" x14ac:dyDescent="0.25">
      <c r="A377" s="11"/>
    </row>
    <row r="378" spans="1:1" x14ac:dyDescent="0.25">
      <c r="A378" s="11"/>
    </row>
    <row r="379" spans="1:1" x14ac:dyDescent="0.25">
      <c r="A379" s="11"/>
    </row>
    <row r="380" spans="1:1" x14ac:dyDescent="0.25">
      <c r="A380" s="11"/>
    </row>
    <row r="381" spans="1:1" x14ac:dyDescent="0.25">
      <c r="A381" s="11"/>
    </row>
    <row r="382" spans="1:1" x14ac:dyDescent="0.25">
      <c r="A382" s="11"/>
    </row>
    <row r="383" spans="1:1" x14ac:dyDescent="0.25">
      <c r="A383" s="11"/>
    </row>
    <row r="384" spans="1:1" x14ac:dyDescent="0.25">
      <c r="A384" s="11"/>
    </row>
    <row r="385" spans="1:1" x14ac:dyDescent="0.25">
      <c r="A385" s="11"/>
    </row>
    <row r="386" spans="1:1" x14ac:dyDescent="0.25">
      <c r="A386" s="11"/>
    </row>
    <row r="387" spans="1:1" x14ac:dyDescent="0.25">
      <c r="A387" s="11"/>
    </row>
    <row r="388" spans="1:1" x14ac:dyDescent="0.25">
      <c r="A388" s="11"/>
    </row>
    <row r="389" spans="1:1" x14ac:dyDescent="0.25">
      <c r="A389" s="11"/>
    </row>
    <row r="390" spans="1:1" x14ac:dyDescent="0.25">
      <c r="A390" s="11"/>
    </row>
    <row r="391" spans="1:1" x14ac:dyDescent="0.25">
      <c r="A391" s="11"/>
    </row>
    <row r="392" spans="1:1" x14ac:dyDescent="0.25">
      <c r="A392" s="11"/>
    </row>
    <row r="393" spans="1:1" x14ac:dyDescent="0.25">
      <c r="A393" s="11"/>
    </row>
    <row r="394" spans="1:1" x14ac:dyDescent="0.25">
      <c r="A394" s="11"/>
    </row>
    <row r="395" spans="1:1" x14ac:dyDescent="0.25">
      <c r="A395" s="11"/>
    </row>
    <row r="396" spans="1:1" x14ac:dyDescent="0.25">
      <c r="A396" s="11"/>
    </row>
    <row r="397" spans="1:1" x14ac:dyDescent="0.25">
      <c r="A397" s="11"/>
    </row>
    <row r="398" spans="1:1" x14ac:dyDescent="0.25">
      <c r="A398" s="11"/>
    </row>
    <row r="399" spans="1:1" x14ac:dyDescent="0.25">
      <c r="A399" s="11"/>
    </row>
    <row r="400" spans="1:1" x14ac:dyDescent="0.25">
      <c r="A400" s="11"/>
    </row>
    <row r="401" spans="1:1" x14ac:dyDescent="0.25">
      <c r="A401" s="11"/>
    </row>
    <row r="402" spans="1:1" x14ac:dyDescent="0.25">
      <c r="A402" s="11"/>
    </row>
    <row r="403" spans="1:1" x14ac:dyDescent="0.25">
      <c r="A403" s="11"/>
    </row>
    <row r="404" spans="1:1" x14ac:dyDescent="0.25">
      <c r="A404" s="11"/>
    </row>
    <row r="405" spans="1:1" x14ac:dyDescent="0.25">
      <c r="A405" s="11"/>
    </row>
    <row r="406" spans="1:1" x14ac:dyDescent="0.25">
      <c r="A406" s="11"/>
    </row>
    <row r="407" spans="1:1" x14ac:dyDescent="0.25">
      <c r="A407" s="11"/>
    </row>
    <row r="408" spans="1:1" x14ac:dyDescent="0.25">
      <c r="A408" s="11"/>
    </row>
    <row r="409" spans="1:1" x14ac:dyDescent="0.25">
      <c r="A409" s="11"/>
    </row>
    <row r="410" spans="1:1" x14ac:dyDescent="0.25">
      <c r="A410" s="11"/>
    </row>
    <row r="411" spans="1:1" x14ac:dyDescent="0.25">
      <c r="A411" s="11"/>
    </row>
    <row r="412" spans="1:1" x14ac:dyDescent="0.25">
      <c r="A412" s="11"/>
    </row>
    <row r="413" spans="1:1" x14ac:dyDescent="0.25">
      <c r="A413" s="11"/>
    </row>
    <row r="414" spans="1:1" x14ac:dyDescent="0.25">
      <c r="A414" s="11"/>
    </row>
    <row r="415" spans="1:1" x14ac:dyDescent="0.25">
      <c r="A415" s="11"/>
    </row>
    <row r="416" spans="1:1" x14ac:dyDescent="0.25">
      <c r="A416" s="11"/>
    </row>
    <row r="417" spans="1:1" x14ac:dyDescent="0.25">
      <c r="A417" s="11"/>
    </row>
    <row r="418" spans="1:1" x14ac:dyDescent="0.25">
      <c r="A418" s="11"/>
    </row>
    <row r="419" spans="1:1" x14ac:dyDescent="0.25">
      <c r="A419" s="11"/>
    </row>
    <row r="420" spans="1:1" x14ac:dyDescent="0.25">
      <c r="A420" s="11"/>
    </row>
    <row r="421" spans="1:1" x14ac:dyDescent="0.25">
      <c r="A421" s="11"/>
    </row>
    <row r="422" spans="1:1" x14ac:dyDescent="0.25">
      <c r="A422" s="11"/>
    </row>
    <row r="423" spans="1:1" x14ac:dyDescent="0.25">
      <c r="A423" s="11"/>
    </row>
    <row r="424" spans="1:1" x14ac:dyDescent="0.25">
      <c r="A424" s="11"/>
    </row>
    <row r="425" spans="1:1" x14ac:dyDescent="0.25">
      <c r="A425" s="11"/>
    </row>
    <row r="426" spans="1:1" x14ac:dyDescent="0.25">
      <c r="A426" s="11"/>
    </row>
    <row r="427" spans="1:1" x14ac:dyDescent="0.25">
      <c r="A427" s="11"/>
    </row>
    <row r="428" spans="1:1" x14ac:dyDescent="0.25">
      <c r="A428" s="11"/>
    </row>
    <row r="429" spans="1:1" x14ac:dyDescent="0.25">
      <c r="A429" s="11"/>
    </row>
    <row r="430" spans="1:1" x14ac:dyDescent="0.25">
      <c r="A430" s="11"/>
    </row>
    <row r="431" spans="1:1" x14ac:dyDescent="0.25">
      <c r="A431" s="11"/>
    </row>
    <row r="432" spans="1:1" x14ac:dyDescent="0.25">
      <c r="A432" s="11"/>
    </row>
    <row r="433" spans="1:1" x14ac:dyDescent="0.25">
      <c r="A433" s="11"/>
    </row>
    <row r="434" spans="1:1" x14ac:dyDescent="0.25">
      <c r="A434" s="11"/>
    </row>
    <row r="435" spans="1:1" x14ac:dyDescent="0.25">
      <c r="A435" s="11"/>
    </row>
    <row r="436" spans="1:1" x14ac:dyDescent="0.25">
      <c r="A436" s="11"/>
    </row>
    <row r="437" spans="1:1" x14ac:dyDescent="0.25">
      <c r="A437" s="11"/>
    </row>
    <row r="438" spans="1:1" x14ac:dyDescent="0.25">
      <c r="A438" s="11"/>
    </row>
    <row r="439" spans="1:1" x14ac:dyDescent="0.25">
      <c r="A439" s="11"/>
    </row>
    <row r="440" spans="1:1" x14ac:dyDescent="0.25">
      <c r="A440" s="11"/>
    </row>
    <row r="441" spans="1:1" x14ac:dyDescent="0.25">
      <c r="A441" s="11"/>
    </row>
    <row r="442" spans="1:1" x14ac:dyDescent="0.25">
      <c r="A442" s="11"/>
    </row>
    <row r="443" spans="1:1" x14ac:dyDescent="0.25">
      <c r="A443" s="11"/>
    </row>
    <row r="444" spans="1:1" x14ac:dyDescent="0.25">
      <c r="A444" s="11"/>
    </row>
    <row r="445" spans="1:1" x14ac:dyDescent="0.25">
      <c r="A445" s="11"/>
    </row>
    <row r="446" spans="1:1" x14ac:dyDescent="0.25">
      <c r="A446" s="11"/>
    </row>
    <row r="447" spans="1:1" x14ac:dyDescent="0.25">
      <c r="A447" s="11"/>
    </row>
    <row r="448" spans="1:1" x14ac:dyDescent="0.25">
      <c r="A448" s="11"/>
    </row>
    <row r="449" spans="1:1" x14ac:dyDescent="0.25">
      <c r="A449" s="11"/>
    </row>
    <row r="450" spans="1:1" x14ac:dyDescent="0.25">
      <c r="A450" s="11"/>
    </row>
    <row r="451" spans="1:1" x14ac:dyDescent="0.25">
      <c r="A451" s="11"/>
    </row>
    <row r="452" spans="1:1" x14ac:dyDescent="0.25">
      <c r="A452" s="11"/>
    </row>
    <row r="453" spans="1:1" x14ac:dyDescent="0.25">
      <c r="A453" s="11"/>
    </row>
    <row r="454" spans="1:1" x14ac:dyDescent="0.25">
      <c r="A454" s="11"/>
    </row>
    <row r="455" spans="1:1" x14ac:dyDescent="0.25">
      <c r="A455" s="11"/>
    </row>
    <row r="456" spans="1:1" x14ac:dyDescent="0.25">
      <c r="A456" s="11"/>
    </row>
    <row r="457" spans="1:1" x14ac:dyDescent="0.25">
      <c r="A457" s="11"/>
    </row>
    <row r="458" spans="1:1" x14ac:dyDescent="0.25">
      <c r="A458" s="11"/>
    </row>
    <row r="459" spans="1:1" x14ac:dyDescent="0.25">
      <c r="A459" s="11"/>
    </row>
    <row r="460" spans="1:1" x14ac:dyDescent="0.25">
      <c r="A460" s="11"/>
    </row>
    <row r="461" spans="1:1" x14ac:dyDescent="0.25">
      <c r="A461" s="11"/>
    </row>
    <row r="462" spans="1:1" x14ac:dyDescent="0.25">
      <c r="A462" s="11"/>
    </row>
    <row r="463" spans="1:1" x14ac:dyDescent="0.25">
      <c r="A463" s="11"/>
    </row>
    <row r="464" spans="1:1" x14ac:dyDescent="0.25">
      <c r="A464" s="11"/>
    </row>
    <row r="465" spans="1:1" x14ac:dyDescent="0.25">
      <c r="A465" s="11"/>
    </row>
    <row r="466" spans="1:1" x14ac:dyDescent="0.25">
      <c r="A466" s="11"/>
    </row>
    <row r="467" spans="1:1" x14ac:dyDescent="0.25">
      <c r="A467" s="11"/>
    </row>
    <row r="468" spans="1:1" x14ac:dyDescent="0.25">
      <c r="A468" s="11"/>
    </row>
    <row r="469" spans="1:1" x14ac:dyDescent="0.25">
      <c r="A469" s="11"/>
    </row>
    <row r="470" spans="1:1" x14ac:dyDescent="0.25">
      <c r="A470" s="11"/>
    </row>
    <row r="471" spans="1:1" x14ac:dyDescent="0.25">
      <c r="A471" s="11"/>
    </row>
    <row r="472" spans="1:1" x14ac:dyDescent="0.25">
      <c r="A472" s="11"/>
    </row>
    <row r="473" spans="1:1" x14ac:dyDescent="0.25">
      <c r="A473" s="11"/>
    </row>
    <row r="474" spans="1:1" x14ac:dyDescent="0.25">
      <c r="A474" s="11"/>
    </row>
    <row r="475" spans="1:1" x14ac:dyDescent="0.25">
      <c r="A475" s="11"/>
    </row>
    <row r="476" spans="1:1" x14ac:dyDescent="0.25">
      <c r="A476" s="11"/>
    </row>
    <row r="477" spans="1:1" x14ac:dyDescent="0.25">
      <c r="A477" s="11"/>
    </row>
    <row r="478" spans="1:1" x14ac:dyDescent="0.25">
      <c r="A478" s="11"/>
    </row>
    <row r="479" spans="1:1" x14ac:dyDescent="0.25">
      <c r="A479" s="11"/>
    </row>
    <row r="480" spans="1:1" x14ac:dyDescent="0.25">
      <c r="A480" s="11"/>
    </row>
    <row r="481" spans="1:1" x14ac:dyDescent="0.25">
      <c r="A481" s="11"/>
    </row>
    <row r="482" spans="1:1" x14ac:dyDescent="0.25">
      <c r="A482" s="11"/>
    </row>
    <row r="483" spans="1:1" x14ac:dyDescent="0.25">
      <c r="A483" s="11"/>
    </row>
    <row r="484" spans="1:1" x14ac:dyDescent="0.25">
      <c r="A484" s="11"/>
    </row>
    <row r="485" spans="1:1" x14ac:dyDescent="0.25">
      <c r="A485" s="11"/>
    </row>
    <row r="486" spans="1:1" x14ac:dyDescent="0.25">
      <c r="A486" s="11"/>
    </row>
    <row r="487" spans="1:1" x14ac:dyDescent="0.25">
      <c r="A487" s="11"/>
    </row>
    <row r="488" spans="1:1" x14ac:dyDescent="0.25">
      <c r="A488" s="11"/>
    </row>
    <row r="489" spans="1:1" x14ac:dyDescent="0.25">
      <c r="A489" s="11"/>
    </row>
    <row r="490" spans="1:1" x14ac:dyDescent="0.25">
      <c r="A490" s="11"/>
    </row>
    <row r="491" spans="1:1" x14ac:dyDescent="0.25">
      <c r="A491" s="11"/>
    </row>
    <row r="492" spans="1:1" x14ac:dyDescent="0.25">
      <c r="A492" s="11"/>
    </row>
    <row r="493" spans="1:1" x14ac:dyDescent="0.25">
      <c r="A493" s="11"/>
    </row>
    <row r="494" spans="1:1" x14ac:dyDescent="0.25">
      <c r="A494" s="11"/>
    </row>
    <row r="495" spans="1:1" x14ac:dyDescent="0.25">
      <c r="A495" s="11"/>
    </row>
    <row r="496" spans="1:1" x14ac:dyDescent="0.25">
      <c r="A496" s="11"/>
    </row>
    <row r="497" spans="1:1" x14ac:dyDescent="0.25">
      <c r="A497" s="11"/>
    </row>
    <row r="498" spans="1:1" x14ac:dyDescent="0.25">
      <c r="A498" s="11"/>
    </row>
    <row r="499" spans="1:1" x14ac:dyDescent="0.25">
      <c r="A499" s="11"/>
    </row>
    <row r="500" spans="1:1" x14ac:dyDescent="0.25">
      <c r="A500" s="11"/>
    </row>
    <row r="501" spans="1:1" x14ac:dyDescent="0.25">
      <c r="A501" s="11"/>
    </row>
    <row r="502" spans="1:1" x14ac:dyDescent="0.25">
      <c r="A502" s="11"/>
    </row>
    <row r="503" spans="1:1" x14ac:dyDescent="0.25">
      <c r="A503" s="11"/>
    </row>
    <row r="504" spans="1:1" x14ac:dyDescent="0.25">
      <c r="A504" s="11"/>
    </row>
    <row r="505" spans="1:1" x14ac:dyDescent="0.25">
      <c r="A505" s="11"/>
    </row>
    <row r="506" spans="1:1" x14ac:dyDescent="0.25">
      <c r="A506" s="11"/>
    </row>
    <row r="507" spans="1:1" x14ac:dyDescent="0.25">
      <c r="A507" s="11"/>
    </row>
    <row r="508" spans="1:1" x14ac:dyDescent="0.25">
      <c r="A508" s="11"/>
    </row>
    <row r="509" spans="1:1" x14ac:dyDescent="0.25">
      <c r="A509" s="11"/>
    </row>
    <row r="510" spans="1:1" x14ac:dyDescent="0.25">
      <c r="A510" s="11"/>
    </row>
    <row r="511" spans="1:1" x14ac:dyDescent="0.25">
      <c r="A511" s="11"/>
    </row>
    <row r="512" spans="1:1" x14ac:dyDescent="0.25">
      <c r="A512" s="11"/>
    </row>
    <row r="513" spans="1:1" x14ac:dyDescent="0.25">
      <c r="A513" s="11"/>
    </row>
    <row r="514" spans="1:1" x14ac:dyDescent="0.25">
      <c r="A514" s="11"/>
    </row>
    <row r="515" spans="1:1" x14ac:dyDescent="0.25">
      <c r="A515" s="11"/>
    </row>
    <row r="516" spans="1:1" x14ac:dyDescent="0.25">
      <c r="A516" s="11"/>
    </row>
    <row r="517" spans="1:1" x14ac:dyDescent="0.25">
      <c r="A517" s="11"/>
    </row>
    <row r="518" spans="1:1" x14ac:dyDescent="0.25">
      <c r="A518" s="11"/>
    </row>
    <row r="519" spans="1:1" x14ac:dyDescent="0.25">
      <c r="A519" s="11"/>
    </row>
    <row r="520" spans="1:1" x14ac:dyDescent="0.25">
      <c r="A520" s="11"/>
    </row>
    <row r="521" spans="1:1" x14ac:dyDescent="0.25">
      <c r="A521" s="11"/>
    </row>
    <row r="522" spans="1:1" x14ac:dyDescent="0.25">
      <c r="A522" s="11"/>
    </row>
    <row r="523" spans="1:1" x14ac:dyDescent="0.25">
      <c r="A523" s="11"/>
    </row>
    <row r="524" spans="1:1" x14ac:dyDescent="0.25">
      <c r="A524" s="11"/>
    </row>
    <row r="525" spans="1:1" x14ac:dyDescent="0.25">
      <c r="A525" s="11"/>
    </row>
    <row r="526" spans="1:1" x14ac:dyDescent="0.25">
      <c r="A526" s="11"/>
    </row>
    <row r="527" spans="1:1" x14ac:dyDescent="0.25">
      <c r="A527" s="11"/>
    </row>
    <row r="528" spans="1:1" x14ac:dyDescent="0.25">
      <c r="A528" s="11"/>
    </row>
    <row r="529" spans="1:1" x14ac:dyDescent="0.25">
      <c r="A529" s="11"/>
    </row>
    <row r="530" spans="1:1" x14ac:dyDescent="0.25">
      <c r="A530" s="11"/>
    </row>
    <row r="531" spans="1:1" x14ac:dyDescent="0.25">
      <c r="A531" s="11"/>
    </row>
    <row r="532" spans="1:1" x14ac:dyDescent="0.25">
      <c r="A532" s="11"/>
    </row>
    <row r="533" spans="1:1" x14ac:dyDescent="0.25">
      <c r="A533" s="11"/>
    </row>
    <row r="534" spans="1:1" x14ac:dyDescent="0.25">
      <c r="A534" s="11"/>
    </row>
    <row r="535" spans="1:1" x14ac:dyDescent="0.25">
      <c r="A535" s="11"/>
    </row>
    <row r="536" spans="1:1" x14ac:dyDescent="0.25">
      <c r="A536" s="11"/>
    </row>
    <row r="537" spans="1:1" x14ac:dyDescent="0.25">
      <c r="A537" s="11"/>
    </row>
    <row r="538" spans="1:1" x14ac:dyDescent="0.25">
      <c r="A538" s="11"/>
    </row>
    <row r="539" spans="1:1" x14ac:dyDescent="0.25">
      <c r="A539" s="11"/>
    </row>
    <row r="540" spans="1:1" x14ac:dyDescent="0.25">
      <c r="A540" s="11"/>
    </row>
    <row r="541" spans="1:1" x14ac:dyDescent="0.25">
      <c r="A541" s="11"/>
    </row>
    <row r="542" spans="1:1" x14ac:dyDescent="0.25">
      <c r="A542" s="11"/>
    </row>
    <row r="543" spans="1:1" x14ac:dyDescent="0.25">
      <c r="A543" s="11"/>
    </row>
    <row r="544" spans="1:1" x14ac:dyDescent="0.25">
      <c r="A544" s="11"/>
    </row>
    <row r="545" spans="1:1" x14ac:dyDescent="0.25">
      <c r="A545" s="11"/>
    </row>
    <row r="546" spans="1:1" x14ac:dyDescent="0.25">
      <c r="A546" s="11"/>
    </row>
    <row r="547" spans="1:1" x14ac:dyDescent="0.25">
      <c r="A547" s="11"/>
    </row>
    <row r="548" spans="1:1" x14ac:dyDescent="0.25">
      <c r="A548" s="11"/>
    </row>
    <row r="549" spans="1:1" x14ac:dyDescent="0.25">
      <c r="A549" s="11"/>
    </row>
    <row r="550" spans="1:1" x14ac:dyDescent="0.25">
      <c r="A550" s="11"/>
    </row>
    <row r="551" spans="1:1" x14ac:dyDescent="0.25">
      <c r="A551" s="11"/>
    </row>
    <row r="552" spans="1:1" x14ac:dyDescent="0.25">
      <c r="A552" s="11"/>
    </row>
    <row r="553" spans="1:1" x14ac:dyDescent="0.25">
      <c r="A553" s="11"/>
    </row>
    <row r="554" spans="1:1" x14ac:dyDescent="0.25">
      <c r="A554" s="11"/>
    </row>
    <row r="555" spans="1:1" x14ac:dyDescent="0.25">
      <c r="A555" s="11"/>
    </row>
    <row r="556" spans="1:1" x14ac:dyDescent="0.25">
      <c r="A556" s="11"/>
    </row>
    <row r="557" spans="1:1" x14ac:dyDescent="0.25">
      <c r="A557" s="11"/>
    </row>
    <row r="558" spans="1:1" x14ac:dyDescent="0.25">
      <c r="A558" s="11"/>
    </row>
    <row r="559" spans="1:1" x14ac:dyDescent="0.25">
      <c r="A559" s="11"/>
    </row>
    <row r="560" spans="1:1" x14ac:dyDescent="0.25">
      <c r="A560" s="11"/>
    </row>
    <row r="561" spans="1:1" x14ac:dyDescent="0.25">
      <c r="A561" s="11"/>
    </row>
    <row r="562" spans="1:1" x14ac:dyDescent="0.25">
      <c r="A562" s="11"/>
    </row>
    <row r="563" spans="1:1" x14ac:dyDescent="0.25">
      <c r="A563" s="11"/>
    </row>
    <row r="564" spans="1:1" x14ac:dyDescent="0.25">
      <c r="A564" s="11"/>
    </row>
    <row r="565" spans="1:1" x14ac:dyDescent="0.25">
      <c r="A565" s="11"/>
    </row>
    <row r="566" spans="1:1" x14ac:dyDescent="0.25">
      <c r="A566" s="11"/>
    </row>
    <row r="567" spans="1:1" x14ac:dyDescent="0.25">
      <c r="A567" s="11"/>
    </row>
    <row r="568" spans="1:1" x14ac:dyDescent="0.25">
      <c r="A568" s="11"/>
    </row>
    <row r="569" spans="1:1" x14ac:dyDescent="0.25">
      <c r="A569" s="11"/>
    </row>
    <row r="570" spans="1:1" x14ac:dyDescent="0.25">
      <c r="A570" s="11"/>
    </row>
    <row r="571" spans="1:1" x14ac:dyDescent="0.25">
      <c r="A571" s="11"/>
    </row>
    <row r="572" spans="1:1" x14ac:dyDescent="0.25">
      <c r="A572" s="11"/>
    </row>
    <row r="573" spans="1:1" x14ac:dyDescent="0.25">
      <c r="A573" s="11"/>
    </row>
    <row r="574" spans="1:1" x14ac:dyDescent="0.25">
      <c r="A574" s="11"/>
    </row>
    <row r="575" spans="1:1" x14ac:dyDescent="0.25">
      <c r="A575" s="11"/>
    </row>
    <row r="576" spans="1:1" x14ac:dyDescent="0.25">
      <c r="A576" s="11"/>
    </row>
    <row r="577" spans="1:1" x14ac:dyDescent="0.25">
      <c r="A577" s="11"/>
    </row>
    <row r="578" spans="1:1" x14ac:dyDescent="0.25">
      <c r="A578" s="11"/>
    </row>
    <row r="579" spans="1:1" x14ac:dyDescent="0.25">
      <c r="A579" s="11"/>
    </row>
    <row r="580" spans="1:1" x14ac:dyDescent="0.25">
      <c r="A580" s="11"/>
    </row>
    <row r="581" spans="1:1" x14ac:dyDescent="0.25">
      <c r="A581" s="11"/>
    </row>
    <row r="582" spans="1:1" x14ac:dyDescent="0.25">
      <c r="A582" s="11"/>
    </row>
    <row r="583" spans="1:1" x14ac:dyDescent="0.25">
      <c r="A583" s="11"/>
    </row>
    <row r="584" spans="1:1" x14ac:dyDescent="0.25">
      <c r="A584" s="11"/>
    </row>
    <row r="585" spans="1:1" x14ac:dyDescent="0.25">
      <c r="A585" s="11"/>
    </row>
    <row r="586" spans="1:1" x14ac:dyDescent="0.25">
      <c r="A586" s="11"/>
    </row>
    <row r="587" spans="1:1" x14ac:dyDescent="0.25">
      <c r="A587" s="11"/>
    </row>
    <row r="588" spans="1:1" x14ac:dyDescent="0.25">
      <c r="A588" s="11"/>
    </row>
    <row r="589" spans="1:1" x14ac:dyDescent="0.25">
      <c r="A589" s="11"/>
    </row>
    <row r="590" spans="1:1" x14ac:dyDescent="0.25">
      <c r="A590" s="11"/>
    </row>
    <row r="591" spans="1:1" x14ac:dyDescent="0.25">
      <c r="A591" s="11"/>
    </row>
    <row r="592" spans="1:1" x14ac:dyDescent="0.25">
      <c r="A592" s="11"/>
    </row>
    <row r="593" spans="1:1" x14ac:dyDescent="0.25">
      <c r="A593" s="11"/>
    </row>
    <row r="594" spans="1:1" x14ac:dyDescent="0.25">
      <c r="A594" s="11"/>
    </row>
    <row r="595" spans="1:1" x14ac:dyDescent="0.25">
      <c r="A595" s="11"/>
    </row>
    <row r="596" spans="1:1" x14ac:dyDescent="0.25">
      <c r="A596" s="11"/>
    </row>
    <row r="597" spans="1:1" x14ac:dyDescent="0.25">
      <c r="A597" s="11"/>
    </row>
    <row r="598" spans="1:1" x14ac:dyDescent="0.25">
      <c r="A598" s="11"/>
    </row>
    <row r="599" spans="1:1" x14ac:dyDescent="0.25">
      <c r="A599" s="11"/>
    </row>
    <row r="600" spans="1:1" x14ac:dyDescent="0.25">
      <c r="A600" s="11"/>
    </row>
    <row r="601" spans="1:1" x14ac:dyDescent="0.25">
      <c r="A601" s="11"/>
    </row>
    <row r="602" spans="1:1" x14ac:dyDescent="0.25">
      <c r="A602" s="11"/>
    </row>
    <row r="603" spans="1:1" x14ac:dyDescent="0.25">
      <c r="A603" s="11"/>
    </row>
    <row r="604" spans="1:1" x14ac:dyDescent="0.25">
      <c r="A604" s="11"/>
    </row>
    <row r="605" spans="1:1" x14ac:dyDescent="0.25">
      <c r="A605" s="11"/>
    </row>
    <row r="606" spans="1:1" x14ac:dyDescent="0.25">
      <c r="A606" s="11"/>
    </row>
    <row r="607" spans="1:1" x14ac:dyDescent="0.25">
      <c r="A607" s="11"/>
    </row>
    <row r="608" spans="1:1" x14ac:dyDescent="0.25">
      <c r="A608" s="11"/>
    </row>
    <row r="609" spans="1:1" x14ac:dyDescent="0.25">
      <c r="A609" s="11"/>
    </row>
    <row r="610" spans="1:1" x14ac:dyDescent="0.25">
      <c r="A610" s="11"/>
    </row>
    <row r="611" spans="1:1" x14ac:dyDescent="0.25">
      <c r="A611" s="11"/>
    </row>
    <row r="612" spans="1:1" x14ac:dyDescent="0.25">
      <c r="A612" s="11"/>
    </row>
    <row r="613" spans="1:1" x14ac:dyDescent="0.25">
      <c r="A613" s="11"/>
    </row>
    <row r="614" spans="1:1" x14ac:dyDescent="0.25">
      <c r="A614" s="11"/>
    </row>
    <row r="615" spans="1:1" x14ac:dyDescent="0.25">
      <c r="A615" s="11"/>
    </row>
    <row r="616" spans="1:1" x14ac:dyDescent="0.25">
      <c r="A616" s="11"/>
    </row>
    <row r="617" spans="1:1" x14ac:dyDescent="0.25">
      <c r="A617" s="11"/>
    </row>
    <row r="618" spans="1:1" x14ac:dyDescent="0.25">
      <c r="A618" s="11"/>
    </row>
    <row r="619" spans="1:1" x14ac:dyDescent="0.25">
      <c r="A619" s="11"/>
    </row>
    <row r="620" spans="1:1" x14ac:dyDescent="0.25">
      <c r="A620" s="11"/>
    </row>
    <row r="621" spans="1:1" x14ac:dyDescent="0.25">
      <c r="A621" s="11"/>
    </row>
    <row r="622" spans="1:1" x14ac:dyDescent="0.25">
      <c r="A622" s="11"/>
    </row>
    <row r="623" spans="1:1" x14ac:dyDescent="0.25">
      <c r="A623" s="11"/>
    </row>
    <row r="624" spans="1:1" x14ac:dyDescent="0.25">
      <c r="A624" s="11"/>
    </row>
    <row r="625" spans="1:1" x14ac:dyDescent="0.25">
      <c r="A625" s="11"/>
    </row>
    <row r="626" spans="1:1" x14ac:dyDescent="0.25">
      <c r="A626" s="11"/>
    </row>
    <row r="627" spans="1:1" x14ac:dyDescent="0.25">
      <c r="A627" s="11"/>
    </row>
    <row r="628" spans="1:1" x14ac:dyDescent="0.25">
      <c r="A628" s="11"/>
    </row>
    <row r="629" spans="1:1" x14ac:dyDescent="0.25">
      <c r="A629" s="11"/>
    </row>
    <row r="630" spans="1:1" x14ac:dyDescent="0.25">
      <c r="A630" s="11"/>
    </row>
    <row r="631" spans="1:1" x14ac:dyDescent="0.25">
      <c r="A631" s="11"/>
    </row>
    <row r="632" spans="1:1" x14ac:dyDescent="0.25">
      <c r="A632" s="11"/>
    </row>
    <row r="633" spans="1:1" x14ac:dyDescent="0.25">
      <c r="A633" s="11"/>
    </row>
    <row r="634" spans="1:1" x14ac:dyDescent="0.25">
      <c r="A634" s="11"/>
    </row>
    <row r="635" spans="1:1" x14ac:dyDescent="0.25">
      <c r="A635" s="11"/>
    </row>
    <row r="636" spans="1:1" x14ac:dyDescent="0.25">
      <c r="A636" s="11"/>
    </row>
    <row r="637" spans="1:1" x14ac:dyDescent="0.25">
      <c r="A637" s="11"/>
    </row>
    <row r="638" spans="1:1" x14ac:dyDescent="0.25">
      <c r="A638" s="11"/>
    </row>
    <row r="639" spans="1:1" x14ac:dyDescent="0.25">
      <c r="A639" s="11"/>
    </row>
    <row r="640" spans="1:1" x14ac:dyDescent="0.25">
      <c r="A640" s="11"/>
    </row>
    <row r="641" spans="1:1" x14ac:dyDescent="0.25">
      <c r="A641" s="11"/>
    </row>
    <row r="642" spans="1:1" x14ac:dyDescent="0.25">
      <c r="A642" s="11"/>
    </row>
    <row r="643" spans="1:1" x14ac:dyDescent="0.25">
      <c r="A643" s="11"/>
    </row>
    <row r="644" spans="1:1" x14ac:dyDescent="0.25">
      <c r="A644" s="11"/>
    </row>
    <row r="645" spans="1:1" x14ac:dyDescent="0.25">
      <c r="A645" s="11"/>
    </row>
    <row r="646" spans="1:1" x14ac:dyDescent="0.25">
      <c r="A646" s="11"/>
    </row>
    <row r="647" spans="1:1" x14ac:dyDescent="0.25">
      <c r="A647" s="11"/>
    </row>
    <row r="648" spans="1:1" x14ac:dyDescent="0.25">
      <c r="A648" s="11"/>
    </row>
    <row r="649" spans="1:1" x14ac:dyDescent="0.25">
      <c r="A649" s="11"/>
    </row>
    <row r="650" spans="1:1" x14ac:dyDescent="0.25">
      <c r="A650" s="11"/>
    </row>
    <row r="651" spans="1:1" x14ac:dyDescent="0.25">
      <c r="A651" s="11"/>
    </row>
    <row r="652" spans="1:1" x14ac:dyDescent="0.25">
      <c r="A652" s="11"/>
    </row>
    <row r="653" spans="1:1" x14ac:dyDescent="0.25">
      <c r="A653" s="11"/>
    </row>
    <row r="654" spans="1:1" x14ac:dyDescent="0.25">
      <c r="A654" s="11"/>
    </row>
    <row r="655" spans="1:1" x14ac:dyDescent="0.25">
      <c r="A655" s="11"/>
    </row>
    <row r="656" spans="1:1" x14ac:dyDescent="0.25">
      <c r="A656" s="11"/>
    </row>
    <row r="657" spans="1:1" x14ac:dyDescent="0.25">
      <c r="A657" s="11"/>
    </row>
    <row r="658" spans="1:1" x14ac:dyDescent="0.25">
      <c r="A658" s="11"/>
    </row>
    <row r="659" spans="1:1" x14ac:dyDescent="0.25">
      <c r="A659" s="11"/>
    </row>
    <row r="660" spans="1:1" x14ac:dyDescent="0.25">
      <c r="A660" s="11"/>
    </row>
    <row r="661" spans="1:1" x14ac:dyDescent="0.25">
      <c r="A661" s="11"/>
    </row>
    <row r="662" spans="1:1" x14ac:dyDescent="0.25">
      <c r="A662" s="11"/>
    </row>
    <row r="663" spans="1:1" x14ac:dyDescent="0.25">
      <c r="A663" s="11"/>
    </row>
    <row r="664" spans="1:1" x14ac:dyDescent="0.25">
      <c r="A664" s="11"/>
    </row>
    <row r="665" spans="1:1" x14ac:dyDescent="0.25">
      <c r="A665" s="11"/>
    </row>
    <row r="666" spans="1:1" x14ac:dyDescent="0.25">
      <c r="A666" s="11"/>
    </row>
    <row r="667" spans="1:1" x14ac:dyDescent="0.25">
      <c r="A667" s="11"/>
    </row>
    <row r="668" spans="1:1" x14ac:dyDescent="0.25">
      <c r="A668" s="11"/>
    </row>
    <row r="669" spans="1:1" x14ac:dyDescent="0.25">
      <c r="A669" s="11"/>
    </row>
    <row r="670" spans="1:1" x14ac:dyDescent="0.25">
      <c r="A670" s="11"/>
    </row>
    <row r="671" spans="1:1" x14ac:dyDescent="0.25">
      <c r="A671" s="11"/>
    </row>
    <row r="672" spans="1:1" x14ac:dyDescent="0.25">
      <c r="A672" s="11"/>
    </row>
    <row r="673" spans="1:1" x14ac:dyDescent="0.25">
      <c r="A673" s="11"/>
    </row>
    <row r="674" spans="1:1" x14ac:dyDescent="0.25">
      <c r="A674" s="11"/>
    </row>
    <row r="675" spans="1:1" x14ac:dyDescent="0.25">
      <c r="A675" s="11"/>
    </row>
    <row r="676" spans="1:1" x14ac:dyDescent="0.25">
      <c r="A676" s="11"/>
    </row>
    <row r="677" spans="1:1" x14ac:dyDescent="0.25">
      <c r="A677" s="11"/>
    </row>
    <row r="678" spans="1:1" x14ac:dyDescent="0.25">
      <c r="A678" s="11"/>
    </row>
    <row r="679" spans="1:1" x14ac:dyDescent="0.25">
      <c r="A679" s="11"/>
    </row>
    <row r="680" spans="1:1" x14ac:dyDescent="0.25">
      <c r="A680" s="11"/>
    </row>
    <row r="681" spans="1:1" x14ac:dyDescent="0.25">
      <c r="A681" s="11"/>
    </row>
    <row r="682" spans="1:1" x14ac:dyDescent="0.25">
      <c r="A682" s="11"/>
    </row>
    <row r="683" spans="1:1" x14ac:dyDescent="0.25">
      <c r="A683" s="11"/>
    </row>
    <row r="684" spans="1:1" x14ac:dyDescent="0.25">
      <c r="A684" s="11"/>
    </row>
    <row r="685" spans="1:1" x14ac:dyDescent="0.25">
      <c r="A685" s="11"/>
    </row>
    <row r="686" spans="1:1" x14ac:dyDescent="0.25">
      <c r="A686" s="11"/>
    </row>
    <row r="687" spans="1:1" x14ac:dyDescent="0.25">
      <c r="A687" s="11"/>
    </row>
    <row r="688" spans="1:1" x14ac:dyDescent="0.25">
      <c r="A688" s="11"/>
    </row>
    <row r="689" spans="1:1" x14ac:dyDescent="0.25">
      <c r="A689" s="11"/>
    </row>
    <row r="690" spans="1:1" x14ac:dyDescent="0.25">
      <c r="A690" s="11"/>
    </row>
    <row r="691" spans="1:1" x14ac:dyDescent="0.25">
      <c r="A691" s="11"/>
    </row>
    <row r="692" spans="1:1" x14ac:dyDescent="0.25">
      <c r="A692" s="11"/>
    </row>
    <row r="693" spans="1:1" x14ac:dyDescent="0.25">
      <c r="A693" s="11"/>
    </row>
    <row r="694" spans="1:1" x14ac:dyDescent="0.25">
      <c r="A694" s="11"/>
    </row>
    <row r="695" spans="1:1" x14ac:dyDescent="0.25">
      <c r="A695" s="11"/>
    </row>
    <row r="696" spans="1:1" x14ac:dyDescent="0.25">
      <c r="A696" s="11"/>
    </row>
    <row r="697" spans="1:1" x14ac:dyDescent="0.25">
      <c r="A697" s="11"/>
    </row>
    <row r="698" spans="1:1" x14ac:dyDescent="0.25">
      <c r="A698" s="11"/>
    </row>
    <row r="699" spans="1:1" x14ac:dyDescent="0.25">
      <c r="A699" s="11"/>
    </row>
    <row r="700" spans="1:1" x14ac:dyDescent="0.25">
      <c r="A700" s="11"/>
    </row>
    <row r="701" spans="1:1" x14ac:dyDescent="0.25">
      <c r="A701" s="11"/>
    </row>
    <row r="702" spans="1:1" x14ac:dyDescent="0.25">
      <c r="A702" s="11"/>
    </row>
    <row r="703" spans="1:1" x14ac:dyDescent="0.25">
      <c r="A703" s="11"/>
    </row>
    <row r="704" spans="1:1" x14ac:dyDescent="0.25">
      <c r="A704" s="11"/>
    </row>
    <row r="705" spans="1:1" x14ac:dyDescent="0.25">
      <c r="A705" s="11"/>
    </row>
    <row r="706" spans="1:1" x14ac:dyDescent="0.25">
      <c r="A706" s="11"/>
    </row>
    <row r="707" spans="1:1" x14ac:dyDescent="0.25">
      <c r="A707" s="11"/>
    </row>
    <row r="708" spans="1:1" x14ac:dyDescent="0.25">
      <c r="A708" s="11"/>
    </row>
    <row r="709" spans="1:1" x14ac:dyDescent="0.25">
      <c r="A709" s="11"/>
    </row>
    <row r="710" spans="1:1" x14ac:dyDescent="0.25">
      <c r="A710" s="11"/>
    </row>
    <row r="711" spans="1:1" x14ac:dyDescent="0.25">
      <c r="A711" s="11"/>
    </row>
    <row r="712" spans="1:1" x14ac:dyDescent="0.25">
      <c r="A712" s="11"/>
    </row>
    <row r="713" spans="1:1" x14ac:dyDescent="0.25">
      <c r="A713" s="11"/>
    </row>
    <row r="714" spans="1:1" x14ac:dyDescent="0.25">
      <c r="A714" s="11"/>
    </row>
    <row r="715" spans="1:1" x14ac:dyDescent="0.25">
      <c r="A715" s="11"/>
    </row>
    <row r="716" spans="1:1" x14ac:dyDescent="0.25">
      <c r="A716" s="11"/>
    </row>
    <row r="717" spans="1:1" x14ac:dyDescent="0.25">
      <c r="A717" s="11"/>
    </row>
    <row r="718" spans="1:1" x14ac:dyDescent="0.25">
      <c r="A718" s="11"/>
    </row>
    <row r="719" spans="1:1" x14ac:dyDescent="0.25">
      <c r="A719" s="11"/>
    </row>
    <row r="720" spans="1:1" x14ac:dyDescent="0.25">
      <c r="A720" s="11"/>
    </row>
    <row r="721" spans="1:1" x14ac:dyDescent="0.25">
      <c r="A721" s="11"/>
    </row>
    <row r="722" spans="1:1" x14ac:dyDescent="0.25">
      <c r="A722" s="11"/>
    </row>
    <row r="723" spans="1:1" x14ac:dyDescent="0.25">
      <c r="A723" s="11"/>
    </row>
    <row r="724" spans="1:1" x14ac:dyDescent="0.25">
      <c r="A724" s="11"/>
    </row>
    <row r="725" spans="1:1" x14ac:dyDescent="0.25">
      <c r="A725" s="11"/>
    </row>
    <row r="726" spans="1:1" x14ac:dyDescent="0.25">
      <c r="A726" s="11"/>
    </row>
    <row r="727" spans="1:1" x14ac:dyDescent="0.25">
      <c r="A727" s="11"/>
    </row>
    <row r="728" spans="1:1" x14ac:dyDescent="0.25">
      <c r="A728" s="11"/>
    </row>
    <row r="729" spans="1:1" x14ac:dyDescent="0.25">
      <c r="A729" s="11"/>
    </row>
    <row r="730" spans="1:1" x14ac:dyDescent="0.25">
      <c r="A730" s="11"/>
    </row>
    <row r="731" spans="1:1" x14ac:dyDescent="0.25">
      <c r="A731" s="11"/>
    </row>
    <row r="732" spans="1:1" x14ac:dyDescent="0.25">
      <c r="A732" s="11"/>
    </row>
    <row r="733" spans="1:1" x14ac:dyDescent="0.25">
      <c r="A733" s="11"/>
    </row>
    <row r="734" spans="1:1" x14ac:dyDescent="0.25">
      <c r="A734" s="11"/>
    </row>
    <row r="735" spans="1:1" x14ac:dyDescent="0.25">
      <c r="A735" s="11"/>
    </row>
    <row r="736" spans="1:1" x14ac:dyDescent="0.25">
      <c r="A736" s="11"/>
    </row>
    <row r="737" spans="1:1" x14ac:dyDescent="0.25">
      <c r="A737" s="11"/>
    </row>
    <row r="738" spans="1:1" x14ac:dyDescent="0.25">
      <c r="A738" s="11"/>
    </row>
    <row r="739" spans="1:1" x14ac:dyDescent="0.25">
      <c r="A739" s="11"/>
    </row>
    <row r="740" spans="1:1" x14ac:dyDescent="0.25">
      <c r="A740" s="11"/>
    </row>
    <row r="741" spans="1:1" x14ac:dyDescent="0.25">
      <c r="A741" s="11"/>
    </row>
    <row r="742" spans="1:1" x14ac:dyDescent="0.25">
      <c r="A742" s="11"/>
    </row>
    <row r="743" spans="1:1" x14ac:dyDescent="0.25">
      <c r="A743" s="11"/>
    </row>
    <row r="744" spans="1:1" x14ac:dyDescent="0.25">
      <c r="A744" s="11"/>
    </row>
    <row r="745" spans="1:1" x14ac:dyDescent="0.25">
      <c r="A745" s="11"/>
    </row>
    <row r="746" spans="1:1" x14ac:dyDescent="0.25">
      <c r="A746" s="11"/>
    </row>
    <row r="747" spans="1:1" x14ac:dyDescent="0.25">
      <c r="A747" s="11"/>
    </row>
    <row r="748" spans="1:1" x14ac:dyDescent="0.25">
      <c r="A748" s="11"/>
    </row>
    <row r="749" spans="1:1" x14ac:dyDescent="0.25">
      <c r="A749" s="11"/>
    </row>
    <row r="750" spans="1:1" x14ac:dyDescent="0.25">
      <c r="A750" s="11"/>
    </row>
    <row r="751" spans="1:1" x14ac:dyDescent="0.25">
      <c r="A751" s="11"/>
    </row>
    <row r="752" spans="1:1" x14ac:dyDescent="0.25">
      <c r="A752" s="11"/>
    </row>
    <row r="753" spans="1:1" x14ac:dyDescent="0.25">
      <c r="A753" s="11"/>
    </row>
    <row r="754" spans="1:1" x14ac:dyDescent="0.25">
      <c r="A754" s="11"/>
    </row>
    <row r="755" spans="1:1" x14ac:dyDescent="0.25">
      <c r="A755" s="11"/>
    </row>
    <row r="756" spans="1:1" x14ac:dyDescent="0.25">
      <c r="A756" s="11"/>
    </row>
    <row r="757" spans="1:1" x14ac:dyDescent="0.25">
      <c r="A757" s="11"/>
    </row>
    <row r="758" spans="1:1" x14ac:dyDescent="0.25">
      <c r="A758" s="11"/>
    </row>
    <row r="759" spans="1:1" x14ac:dyDescent="0.25">
      <c r="A759" s="11"/>
    </row>
    <row r="760" spans="1:1" x14ac:dyDescent="0.25">
      <c r="A760" s="11"/>
    </row>
    <row r="761" spans="1:1" x14ac:dyDescent="0.25">
      <c r="A761" s="11"/>
    </row>
    <row r="762" spans="1:1" x14ac:dyDescent="0.25">
      <c r="A762" s="11"/>
    </row>
    <row r="763" spans="1:1" x14ac:dyDescent="0.25">
      <c r="A763" s="11"/>
    </row>
    <row r="764" spans="1:1" x14ac:dyDescent="0.25">
      <c r="A764" s="11"/>
    </row>
    <row r="765" spans="1:1" x14ac:dyDescent="0.25">
      <c r="A765" s="11"/>
    </row>
    <row r="766" spans="1:1" x14ac:dyDescent="0.25">
      <c r="A766" s="11"/>
    </row>
    <row r="767" spans="1:1" x14ac:dyDescent="0.25">
      <c r="A767" s="11"/>
    </row>
    <row r="768" spans="1:1" x14ac:dyDescent="0.25">
      <c r="A768" s="11"/>
    </row>
    <row r="769" spans="1:1" x14ac:dyDescent="0.25">
      <c r="A769" s="1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B9" sqref="B9"/>
    </sheetView>
  </sheetViews>
  <sheetFormatPr defaultRowHeight="15" x14ac:dyDescent="0.25"/>
  <cols>
    <col min="1" max="1" width="15.28515625" customWidth="1"/>
    <col min="2" max="6" width="13.5703125" customWidth="1"/>
  </cols>
  <sheetData>
    <row r="1" spans="1:7" x14ac:dyDescent="0.25">
      <c r="A1" s="3" t="s">
        <v>0</v>
      </c>
      <c r="B1" s="2" t="s">
        <v>3</v>
      </c>
      <c r="C1" s="2" t="s">
        <v>4</v>
      </c>
      <c r="D1" s="6" t="s">
        <v>5</v>
      </c>
      <c r="E1" s="2"/>
      <c r="F1" s="6"/>
      <c r="G1" s="2"/>
    </row>
    <row r="2" spans="1:7" x14ac:dyDescent="0.25">
      <c r="A2" s="4">
        <v>45231.708333333336</v>
      </c>
      <c r="B2">
        <v>0.90200000000000002</v>
      </c>
      <c r="C2">
        <v>0.89800000000000002</v>
      </c>
      <c r="D2">
        <v>0.9</v>
      </c>
      <c r="E2" s="12"/>
      <c r="F2" s="12"/>
      <c r="G2" s="12"/>
    </row>
    <row r="3" spans="1:7" x14ac:dyDescent="0.25">
      <c r="A3" s="4">
        <v>45235.708333333336</v>
      </c>
      <c r="B3">
        <v>0.88300000000000001</v>
      </c>
      <c r="C3">
        <v>0.876</v>
      </c>
      <c r="D3">
        <v>0.88600000000000001</v>
      </c>
      <c r="E3" s="12"/>
      <c r="F3" s="12"/>
      <c r="G3" s="12"/>
    </row>
    <row r="4" spans="1:7" x14ac:dyDescent="0.25">
      <c r="A4" s="4"/>
      <c r="E4" s="12"/>
      <c r="F4" s="12"/>
      <c r="G4" s="12"/>
    </row>
    <row r="5" spans="1:7" x14ac:dyDescent="0.25">
      <c r="A5" s="4"/>
    </row>
    <row r="6" spans="1:7" x14ac:dyDescent="0.25">
      <c r="A6" s="4"/>
    </row>
    <row r="7" spans="1:7" x14ac:dyDescent="0.25">
      <c r="A7" s="4"/>
    </row>
    <row r="8" spans="1:7" x14ac:dyDescent="0.25">
      <c r="A8" s="4"/>
    </row>
    <row r="9" spans="1:7" x14ac:dyDescent="0.25">
      <c r="A9" s="4"/>
    </row>
    <row r="10" spans="1:7" x14ac:dyDescent="0.25">
      <c r="A10" s="4"/>
    </row>
    <row r="11" spans="1:7" x14ac:dyDescent="0.25">
      <c r="A11" s="4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tabSelected="1" workbookViewId="0">
      <selection activeCell="D9" sqref="D9"/>
    </sheetView>
  </sheetViews>
  <sheetFormatPr defaultRowHeight="15" x14ac:dyDescent="0.25"/>
  <cols>
    <col min="1" max="1" width="15.28515625" customWidth="1"/>
    <col min="2" max="6" width="18.85546875" customWidth="1"/>
  </cols>
  <sheetData>
    <row r="1" spans="1:7" x14ac:dyDescent="0.25">
      <c r="A1" s="3" t="s">
        <v>0</v>
      </c>
      <c r="B1" s="2" t="s">
        <v>3</v>
      </c>
      <c r="C1" s="2" t="s">
        <v>4</v>
      </c>
      <c r="D1" s="6" t="s">
        <v>5</v>
      </c>
      <c r="E1" s="2"/>
      <c r="F1" s="6"/>
      <c r="G1" s="2"/>
    </row>
    <row r="2" spans="1:7" x14ac:dyDescent="0.25">
      <c r="A2" s="4">
        <v>45231.708333333336</v>
      </c>
      <c r="B2" s="12">
        <f>Reflectance_Average!B2*0.01</f>
        <v>9.0200000000000002E-3</v>
      </c>
      <c r="C2" s="12">
        <f>Reflectance_Average!C2*0.01</f>
        <v>8.9800000000000001E-3</v>
      </c>
      <c r="D2" s="12">
        <f>Reflectance_Average!D2*0.01</f>
        <v>9.0000000000000011E-3</v>
      </c>
      <c r="E2" s="12"/>
      <c r="F2" s="12"/>
      <c r="G2" s="12"/>
    </row>
    <row r="3" spans="1:7" x14ac:dyDescent="0.25">
      <c r="A3" s="4">
        <v>45235.708333333336</v>
      </c>
      <c r="B3" s="12">
        <f>Reflectance_Average!B3*0.01</f>
        <v>8.830000000000001E-3</v>
      </c>
      <c r="C3" s="12">
        <f>Reflectance_Average!C3*0.01</f>
        <v>8.7600000000000004E-3</v>
      </c>
      <c r="D3" s="12">
        <f>Reflectance_Average!D3*0.01</f>
        <v>8.8599999999999998E-3</v>
      </c>
      <c r="E3" s="12"/>
      <c r="F3" s="12"/>
      <c r="G3" s="12"/>
    </row>
    <row r="4" spans="1:7" x14ac:dyDescent="0.25">
      <c r="A4" s="4"/>
      <c r="B4" s="12"/>
      <c r="C4" s="12"/>
      <c r="D4" s="12"/>
      <c r="E4" s="12"/>
      <c r="F4" s="12"/>
      <c r="G4" s="12"/>
    </row>
    <row r="5" spans="1:7" x14ac:dyDescent="0.25">
      <c r="A5" s="4"/>
      <c r="B5" s="12"/>
      <c r="C5" s="12"/>
      <c r="D5" s="12"/>
      <c r="E5" s="12"/>
      <c r="F5" s="12"/>
      <c r="G5" s="12"/>
    </row>
    <row r="6" spans="1:7" x14ac:dyDescent="0.25">
      <c r="A6" s="5"/>
    </row>
    <row r="7" spans="1:7" x14ac:dyDescent="0.25">
      <c r="A7" s="5"/>
    </row>
    <row r="8" spans="1:7" x14ac:dyDescent="0.25">
      <c r="A8" s="5"/>
    </row>
    <row r="9" spans="1:7" x14ac:dyDescent="0.25">
      <c r="A9" s="5"/>
    </row>
    <row r="10" spans="1:7" x14ac:dyDescent="0.25">
      <c r="A10" s="5"/>
    </row>
    <row r="11" spans="1:7" x14ac:dyDescent="0.25">
      <c r="A11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Dust</vt:lpstr>
      <vt:lpstr>Source_Intensity</vt:lpstr>
      <vt:lpstr>Weather</vt:lpstr>
      <vt:lpstr>Tilts</vt:lpstr>
      <vt:lpstr>Reflectance_Average</vt:lpstr>
      <vt:lpstr>Reflectance_Sigma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Imponenti</dc:creator>
  <cp:lastModifiedBy>Luca Imponenti</cp:lastModifiedBy>
  <dcterms:created xsi:type="dcterms:W3CDTF">2024-07-24T01:14:39Z</dcterms:created>
  <dcterms:modified xsi:type="dcterms:W3CDTF">2024-08-12T16:46:02Z</dcterms:modified>
</cp:coreProperties>
</file>