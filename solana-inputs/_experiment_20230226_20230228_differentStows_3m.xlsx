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F7A1B3CD-6A04-462B-A1A8-1A033EFF7080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  <sheet name="Key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3" l="1"/>
  <c r="D70" i="3" s="1"/>
  <c r="D71" i="3" s="1"/>
  <c r="D72" i="3" s="1"/>
  <c r="D73" i="3" s="1"/>
  <c r="C69" i="3"/>
  <c r="C70" i="3" s="1"/>
  <c r="C71" i="3" s="1"/>
  <c r="C72" i="3" s="1"/>
  <c r="C73" i="3" s="1"/>
  <c r="B69" i="3"/>
  <c r="B70" i="3" s="1"/>
  <c r="B71" i="3" s="1"/>
  <c r="B72" i="3" s="1"/>
  <c r="B73" i="3" s="1"/>
  <c r="C46" i="3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B46" i="3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D45" i="3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C45" i="3"/>
  <c r="B45" i="3"/>
  <c r="D21" i="3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C21" i="3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B21" i="3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D3" i="3"/>
  <c r="D4" i="3" s="1"/>
  <c r="D5" i="3" s="1"/>
  <c r="D6" i="3" s="1"/>
  <c r="D7" i="3" s="1"/>
  <c r="D8" i="3" s="1"/>
  <c r="C3" i="3"/>
  <c r="C4" i="3" s="1"/>
  <c r="C5" i="3" s="1"/>
  <c r="C6" i="3" s="1"/>
  <c r="C7" i="3" s="1"/>
  <c r="C8" i="3" s="1"/>
  <c r="B3" i="3"/>
  <c r="B4" i="3" s="1"/>
  <c r="B5" i="3" s="1"/>
  <c r="B6" i="3" s="1"/>
  <c r="B7" i="3" s="1"/>
  <c r="B8" i="3" s="1"/>
  <c r="D2" i="3"/>
  <c r="C2" i="3"/>
  <c r="B2" i="3"/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2" i="7"/>
  <c r="E3" i="7"/>
</calcChain>
</file>

<file path=xl/sharedStrings.xml><?xml version="1.0" encoding="utf-8"?>
<sst xmlns="http://schemas.openxmlformats.org/spreadsheetml/2006/main" count="63" uniqueCount="47">
  <si>
    <t>Time</t>
  </si>
  <si>
    <t>AirTemp</t>
  </si>
  <si>
    <t>WindSpeed</t>
  </si>
  <si>
    <t>Mirror_1</t>
  </si>
  <si>
    <t>Mirror_2</t>
  </si>
  <si>
    <t>Mirror_3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</si>
  <si>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</si>
  <si>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</si>
  <si>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</si>
  <si>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</si>
  <si>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</si>
  <si>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</si>
  <si>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</si>
  <si>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</si>
  <si>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</si>
  <si>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</si>
  <si>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</si>
  <si>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</si>
  <si>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</si>
  <si>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</si>
  <si>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</si>
  <si>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</si>
  <si>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</si>
  <si>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</si>
  <si>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</si>
  <si>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</si>
  <si>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</si>
  <si>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</si>
  <si>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</si>
  <si>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</si>
  <si>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</si>
  <si>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</si>
  <si>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</si>
  <si>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</si>
  <si>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</si>
  <si>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</si>
  <si>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</si>
  <si>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PM10</t>
  </si>
  <si>
    <t>2999.9756004141914; 997.0197384329538; 0.8145256126239515</t>
  </si>
  <si>
    <t>0.0004717805043623872; 0.03534049888876333; 1.9531196501542158</t>
  </si>
  <si>
    <t>1.52307419091438;2.44657447962067;1.2556617340672</t>
  </si>
  <si>
    <t>*parameters fit to dust data over exp duration</t>
  </si>
  <si>
    <t>G142</t>
  </si>
  <si>
    <t>G144</t>
  </si>
  <si>
    <t>G146</t>
  </si>
  <si>
    <t>* reflectance is avg of all measurements on sca (excluding dirty band measurements, if applicable)</t>
  </si>
  <si>
    <t>* sigma is based on standard deviation of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</si>
</sst>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6"/>
  </cellStyleXfs>
  <cellXfs count="18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22" fontId="0" fillId="0" borderId="3" xfId="0" applyNumberFormat="1" applyBorder="1"/>
    <xf numFmtId="49" fontId="0" fillId="0" borderId="4" xfId="0" applyNumberFormat="1" applyBorder="1"/>
    <xf numFmtId="22" fontId="0" fillId="0" borderId="5" xfId="0" applyNumberFormat="1" applyBorder="1"/>
    <xf numFmtId="22" fontId="0" fillId="0" borderId="6" xfId="0" applyNumberFormat="1" applyBorder="1"/>
    <xf numFmtId="49" fontId="1" fillId="0" borderId="2" xfId="0" applyNumberFormat="1" applyFont="1" applyBorder="1"/>
    <xf numFmtId="0" fontId="2" fillId="0" borderId="6" xfId="1"/>
    <xf numFmtId="11" fontId="2" fillId="0" borderId="6" xfId="1" applyNumberFormat="1"/>
    <xf numFmtId="0" fontId="1" fillId="0" borderId="6" xfId="1" applyFont="1"/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0" fontId="1" fillId="0" borderId="6" xfId="1" applyFont="1" applyAlignment="1">
      <alignment horizontal="center" wrapText="1"/>
    </xf>
    <xf numFmtId="0" fontId="2" fillId="0" borderId="6" xfId="1" applyAlignment="1">
      <alignment horizontal="center" wrapText="1"/>
    </xf>
    <xf numFmtId="49" fontId="2" fillId="0" borderId="6" xfId="1" applyNumberFormat="1"/>
    <xf numFmtId="49" fontId="1" fillId="0" borderId="6" xfId="1" applyNumberFormat="1" applyFont="1"/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D6" sqref="D6"/>
    </sheetView>
  </sheetViews>
  <sheetFormatPr defaultColWidth="9.140625" defaultRowHeight="15" x14ac:dyDescent="0.25"/>
  <cols>
    <col min="1" max="1" width="30.5703125" style="8" bestFit="1" customWidth="1"/>
    <col min="2" max="2" width="21.140625" style="8" bestFit="1" customWidth="1"/>
    <col min="3" max="3" width="6.5703125" style="8" bestFit="1" customWidth="1"/>
    <col min="4" max="4" width="56.42578125" style="8" bestFit="1" customWidth="1"/>
    <col min="5" max="16384" width="9.140625" style="8"/>
  </cols>
  <sheetData>
    <row r="1" spans="1:4" x14ac:dyDescent="0.25">
      <c r="A1" s="8" t="s">
        <v>6</v>
      </c>
      <c r="B1" s="8" t="s">
        <v>7</v>
      </c>
      <c r="C1" s="8" t="s">
        <v>8</v>
      </c>
      <c r="D1" s="8" t="s">
        <v>9</v>
      </c>
    </row>
    <row r="2" spans="1:4" x14ac:dyDescent="0.25">
      <c r="A2" s="8" t="s">
        <v>10</v>
      </c>
      <c r="B2" s="8" t="s">
        <v>34</v>
      </c>
      <c r="C2" s="8" t="s">
        <v>11</v>
      </c>
      <c r="D2" s="8" t="s">
        <v>12</v>
      </c>
    </row>
    <row r="3" spans="1:4" x14ac:dyDescent="0.25">
      <c r="A3" s="8" t="s">
        <v>13</v>
      </c>
      <c r="B3" s="8">
        <v>3</v>
      </c>
      <c r="D3" s="8" t="s">
        <v>14</v>
      </c>
    </row>
    <row r="4" spans="1:4" x14ac:dyDescent="0.25">
      <c r="A4" s="8" t="s">
        <v>15</v>
      </c>
      <c r="B4" s="8" t="s">
        <v>38</v>
      </c>
    </row>
    <row r="5" spans="1:4" x14ac:dyDescent="0.25">
      <c r="A5" s="8" t="s">
        <v>16</v>
      </c>
      <c r="B5" s="8" t="s">
        <v>39</v>
      </c>
      <c r="C5" s="8" t="s">
        <v>11</v>
      </c>
      <c r="D5" s="8" t="s">
        <v>41</v>
      </c>
    </row>
    <row r="6" spans="1:4" x14ac:dyDescent="0.25">
      <c r="A6" s="8" t="s">
        <v>17</v>
      </c>
      <c r="B6" s="8" t="s">
        <v>40</v>
      </c>
      <c r="C6" s="8" t="s">
        <v>11</v>
      </c>
    </row>
    <row r="7" spans="1:4" x14ac:dyDescent="0.25">
      <c r="A7" s="8" t="s">
        <v>18</v>
      </c>
      <c r="B7" s="8">
        <v>2000</v>
      </c>
      <c r="C7" s="8" t="s">
        <v>19</v>
      </c>
      <c r="D7" s="8" t="s">
        <v>20</v>
      </c>
    </row>
    <row r="8" spans="1:4" x14ac:dyDescent="0.25">
      <c r="A8" s="8" t="s">
        <v>21</v>
      </c>
      <c r="B8" s="9">
        <v>8.5000000000000005E-20</v>
      </c>
      <c r="C8" s="8" t="s">
        <v>22</v>
      </c>
      <c r="D8" s="8" t="s">
        <v>23</v>
      </c>
    </row>
    <row r="9" spans="1:4" x14ac:dyDescent="0.25">
      <c r="A9" s="8" t="s">
        <v>24</v>
      </c>
      <c r="B9" s="8">
        <v>0.17</v>
      </c>
      <c r="D9" s="8" t="s">
        <v>25</v>
      </c>
    </row>
    <row r="10" spans="1:4" x14ac:dyDescent="0.25">
      <c r="A10" s="8" t="s">
        <v>26</v>
      </c>
      <c r="B10" s="9">
        <v>72400000000</v>
      </c>
      <c r="C10" s="8" t="s">
        <v>27</v>
      </c>
      <c r="D10" s="8" t="s">
        <v>28</v>
      </c>
    </row>
    <row r="11" spans="1:4" x14ac:dyDescent="0.25">
      <c r="A11" s="8" t="s">
        <v>29</v>
      </c>
      <c r="B11" s="8">
        <v>1.54</v>
      </c>
      <c r="D11" s="8" t="s">
        <v>31</v>
      </c>
    </row>
    <row r="12" spans="1:4" x14ac:dyDescent="0.25">
      <c r="A12" s="8" t="s">
        <v>30</v>
      </c>
      <c r="B12" s="8">
        <v>0</v>
      </c>
      <c r="D12" s="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40625" defaultRowHeight="15" x14ac:dyDescent="0.25"/>
  <cols>
    <col min="1" max="1" width="16.5703125" bestFit="1" customWidth="1"/>
    <col min="2" max="2" width="27.42578125" bestFit="1" customWidth="1"/>
    <col min="3" max="16384" width="9.140625" style="8"/>
  </cols>
  <sheetData>
    <row r="1" spans="1:5" x14ac:dyDescent="0.25">
      <c r="A1" s="10" t="s">
        <v>33</v>
      </c>
      <c r="B1" s="10" t="s">
        <v>35</v>
      </c>
    </row>
    <row r="2" spans="1:5" x14ac:dyDescent="0.25">
      <c r="A2" s="8">
        <v>490</v>
      </c>
      <c r="B2" s="8">
        <f>_xlfn.NORM.DIST(A2,$E$2,$E$3,FALSE)/_xlfn.NORM.DIST($E$2,$E$2,$E$3,FALSE)</f>
        <v>1.5338106793244656E-3</v>
      </c>
      <c r="D2" s="10" t="s">
        <v>16</v>
      </c>
      <c r="E2" s="8">
        <v>550</v>
      </c>
    </row>
    <row r="3" spans="1:5" x14ac:dyDescent="0.25">
      <c r="A3" s="8">
        <v>491</v>
      </c>
      <c r="B3" s="8">
        <f t="shared" ref="B3:B66" si="0">_xlfn.NORM.DIST(A3,$E$2,$E$3,FALSE)/_xlfn.NORM.DIST($E$2,$E$2,$E$3,FALSE)</f>
        <v>1.9001926561053196E-3</v>
      </c>
      <c r="D3" s="10" t="s">
        <v>17</v>
      </c>
      <c r="E3" s="8">
        <f>50/3</f>
        <v>16.666666666666668</v>
      </c>
    </row>
    <row r="4" spans="1:5" x14ac:dyDescent="0.25">
      <c r="A4" s="8">
        <v>492</v>
      </c>
      <c r="B4" s="8">
        <f t="shared" si="0"/>
        <v>2.3456329471668626E-3</v>
      </c>
    </row>
    <row r="5" spans="1:5" x14ac:dyDescent="0.25">
      <c r="A5" s="8">
        <v>493</v>
      </c>
      <c r="B5" s="8">
        <f t="shared" si="0"/>
        <v>2.8850876448099608E-3</v>
      </c>
    </row>
    <row r="6" spans="1:5" x14ac:dyDescent="0.25">
      <c r="A6" s="8">
        <v>494</v>
      </c>
      <c r="B6" s="8">
        <f t="shared" si="0"/>
        <v>3.5358555015075786E-3</v>
      </c>
    </row>
    <row r="7" spans="1:5" x14ac:dyDescent="0.25">
      <c r="A7" s="8">
        <v>495</v>
      </c>
      <c r="B7" s="8">
        <f t="shared" si="0"/>
        <v>4.3178400076330815E-3</v>
      </c>
    </row>
    <row r="8" spans="1:5" x14ac:dyDescent="0.25">
      <c r="A8" s="8">
        <v>496</v>
      </c>
      <c r="B8" s="8">
        <f t="shared" si="0"/>
        <v>5.2538192009853931E-3</v>
      </c>
    </row>
    <row r="9" spans="1:5" x14ac:dyDescent="0.25">
      <c r="A9" s="8">
        <v>497</v>
      </c>
      <c r="B9" s="8">
        <f t="shared" si="0"/>
        <v>6.369718512085289E-3</v>
      </c>
    </row>
    <row r="10" spans="1:5" x14ac:dyDescent="0.25">
      <c r="A10" s="8">
        <v>498</v>
      </c>
      <c r="B10" s="8">
        <f t="shared" si="0"/>
        <v>7.6948808183874848E-3</v>
      </c>
    </row>
    <row r="11" spans="1:5" x14ac:dyDescent="0.25">
      <c r="A11" s="8">
        <v>499</v>
      </c>
      <c r="B11" s="8">
        <f t="shared" si="0"/>
        <v>9.2623266850553852E-3</v>
      </c>
    </row>
    <row r="12" spans="1:5" x14ac:dyDescent="0.25">
      <c r="A12" s="8">
        <v>500</v>
      </c>
      <c r="B12" s="8">
        <f t="shared" si="0"/>
        <v>1.1108996538242306E-2</v>
      </c>
    </row>
    <row r="13" spans="1:5" x14ac:dyDescent="0.25">
      <c r="A13" s="8">
        <v>501</v>
      </c>
      <c r="B13" s="8">
        <f t="shared" si="0"/>
        <v>1.3275965284957046E-2</v>
      </c>
    </row>
    <row r="14" spans="1:5" x14ac:dyDescent="0.25">
      <c r="A14" s="8">
        <v>502</v>
      </c>
      <c r="B14" s="8">
        <f t="shared" si="0"/>
        <v>1.5808618705241848E-2</v>
      </c>
    </row>
    <row r="15" spans="1:5" x14ac:dyDescent="0.25">
      <c r="A15" s="8">
        <v>503</v>
      </c>
      <c r="B15" s="8">
        <f t="shared" si="0"/>
        <v>1.875677984858105E-2</v>
      </c>
    </row>
    <row r="16" spans="1:5" x14ac:dyDescent="0.25">
      <c r="A16" s="8">
        <v>504</v>
      </c>
      <c r="B16" s="8">
        <f t="shared" si="0"/>
        <v>2.2174772724855216E-2</v>
      </c>
    </row>
    <row r="17" spans="1:12" x14ac:dyDescent="0.25">
      <c r="A17" s="8">
        <v>505</v>
      </c>
      <c r="B17" s="8">
        <f t="shared" si="0"/>
        <v>2.6121409853918254E-2</v>
      </c>
    </row>
    <row r="18" spans="1:12" x14ac:dyDescent="0.25">
      <c r="A18" s="8">
        <v>506</v>
      </c>
      <c r="B18" s="8">
        <f t="shared" si="0"/>
        <v>3.0659889794007553E-2</v>
      </c>
    </row>
    <row r="19" spans="1:12" x14ac:dyDescent="0.25">
      <c r="A19" s="8">
        <v>507</v>
      </c>
      <c r="B19" s="8">
        <f t="shared" si="0"/>
        <v>3.5857590676413885E-2</v>
      </c>
    </row>
    <row r="20" spans="1:12" x14ac:dyDescent="0.25">
      <c r="A20" s="8">
        <v>508</v>
      </c>
      <c r="B20" s="8">
        <f t="shared" si="0"/>
        <v>4.1785746099929272E-2</v>
      </c>
    </row>
    <row r="21" spans="1:12" x14ac:dyDescent="0.25">
      <c r="A21" s="8">
        <v>509</v>
      </c>
      <c r="B21" s="8">
        <f t="shared" si="0"/>
        <v>4.8518990547354E-2</v>
      </c>
    </row>
    <row r="22" spans="1:12" x14ac:dyDescent="0.25">
      <c r="A22" s="8">
        <v>510</v>
      </c>
      <c r="B22" s="8">
        <f t="shared" si="0"/>
        <v>5.6134762834133725E-2</v>
      </c>
    </row>
    <row r="23" spans="1:12" x14ac:dyDescent="0.25">
      <c r="A23" s="8">
        <v>511</v>
      </c>
      <c r="B23" s="8">
        <f t="shared" si="0"/>
        <v>6.4712558031226858E-2</v>
      </c>
    </row>
    <row r="24" spans="1:12" x14ac:dyDescent="0.25">
      <c r="A24" s="8">
        <v>512</v>
      </c>
      <c r="B24" s="8">
        <f t="shared" si="0"/>
        <v>7.4333020850789674E-2</v>
      </c>
    </row>
    <row r="25" spans="1:12" x14ac:dyDescent="0.25">
      <c r="A25" s="8">
        <v>513</v>
      </c>
      <c r="B25" s="8">
        <f t="shared" si="0"/>
        <v>8.5076876655682046E-2</v>
      </c>
    </row>
    <row r="26" spans="1:12" x14ac:dyDescent="0.25">
      <c r="A26" s="8">
        <v>514</v>
      </c>
      <c r="B26" s="8">
        <f t="shared" si="0"/>
        <v>9.7023700041287075E-2</v>
      </c>
    </row>
    <row r="27" spans="1:12" x14ac:dyDescent="0.25">
      <c r="A27" s="8">
        <v>515</v>
      </c>
      <c r="B27" s="8">
        <f t="shared" si="0"/>
        <v>0.11025052530448531</v>
      </c>
    </row>
    <row r="28" spans="1:12" x14ac:dyDescent="0.25">
      <c r="A28" s="8">
        <v>516</v>
      </c>
      <c r="B28" s="8">
        <f t="shared" si="0"/>
        <v>0.12483030799583289</v>
      </c>
    </row>
    <row r="29" spans="1:12" x14ac:dyDescent="0.25">
      <c r="A29" s="8">
        <v>517</v>
      </c>
      <c r="B29" s="8">
        <f t="shared" si="0"/>
        <v>0.14083025205384148</v>
      </c>
    </row>
    <row r="30" spans="1:12" x14ac:dyDescent="0.25">
      <c r="A30" s="8">
        <v>518</v>
      </c>
      <c r="B30" s="8">
        <f t="shared" si="0"/>
        <v>0.1583100226219388</v>
      </c>
      <c r="H30" s="14" t="s">
        <v>36</v>
      </c>
      <c r="I30" s="15"/>
      <c r="J30" s="15"/>
      <c r="K30" s="15"/>
      <c r="L30" s="15"/>
    </row>
    <row r="31" spans="1:12" x14ac:dyDescent="0.25">
      <c r="A31" s="8">
        <v>519</v>
      </c>
      <c r="B31" s="8">
        <f t="shared" si="0"/>
        <v>0.17731987039779637</v>
      </c>
      <c r="H31" s="15"/>
      <c r="I31" s="15"/>
      <c r="J31" s="15"/>
      <c r="K31" s="15"/>
      <c r="L31" s="15"/>
    </row>
    <row r="32" spans="1:12" x14ac:dyDescent="0.25">
      <c r="A32" s="8">
        <v>520</v>
      </c>
      <c r="B32" s="8">
        <f t="shared" si="0"/>
        <v>0.19789869908361474</v>
      </c>
      <c r="H32" s="15"/>
      <c r="I32" s="15"/>
      <c r="J32" s="15"/>
      <c r="K32" s="15"/>
      <c r="L32" s="15"/>
    </row>
    <row r="33" spans="1:2" x14ac:dyDescent="0.25">
      <c r="A33" s="8">
        <v>521</v>
      </c>
      <c r="B33" s="8">
        <f t="shared" si="0"/>
        <v>0.22007211299479595</v>
      </c>
    </row>
    <row r="34" spans="1:2" x14ac:dyDescent="0.25">
      <c r="A34" s="8">
        <v>522</v>
      </c>
      <c r="B34" s="8">
        <f t="shared" si="0"/>
        <v>0.2438504869265247</v>
      </c>
    </row>
    <row r="35" spans="1:2" x14ac:dyDescent="0.25">
      <c r="A35" s="8">
        <v>523</v>
      </c>
      <c r="B35" s="8">
        <f t="shared" si="0"/>
        <v>0.26922710474659961</v>
      </c>
    </row>
    <row r="36" spans="1:2" x14ac:dyDescent="0.25">
      <c r="A36" s="8">
        <v>524</v>
      </c>
      <c r="B36" s="8">
        <f t="shared" si="0"/>
        <v>0.29617641665026678</v>
      </c>
    </row>
    <row r="37" spans="1:2" x14ac:dyDescent="0.25">
      <c r="A37" s="8">
        <v>525</v>
      </c>
      <c r="B37" s="8">
        <f t="shared" si="0"/>
        <v>0.32465246735834968</v>
      </c>
    </row>
    <row r="38" spans="1:2" x14ac:dyDescent="0.25">
      <c r="A38" s="8">
        <v>526</v>
      </c>
      <c r="B38" s="8">
        <f t="shared" si="0"/>
        <v>0.35458754856089897</v>
      </c>
    </row>
    <row r="39" spans="1:2" x14ac:dyDescent="0.25">
      <c r="A39" s="8">
        <v>527</v>
      </c>
      <c r="B39" s="8">
        <f t="shared" si="0"/>
        <v>0.38589112843021905</v>
      </c>
    </row>
    <row r="40" spans="1:2" x14ac:dyDescent="0.25">
      <c r="A40" s="8">
        <v>528</v>
      </c>
      <c r="B40" s="8">
        <f t="shared" si="0"/>
        <v>0.41844910891303544</v>
      </c>
    </row>
    <row r="41" spans="1:2" x14ac:dyDescent="0.25">
      <c r="A41" s="8">
        <v>529</v>
      </c>
      <c r="B41" s="8">
        <f t="shared" si="0"/>
        <v>0.45212345767308282</v>
      </c>
    </row>
    <row r="42" spans="1:2" x14ac:dyDescent="0.25">
      <c r="A42" s="8">
        <v>530</v>
      </c>
      <c r="B42" s="8">
        <f t="shared" si="0"/>
        <v>0.48675225595997168</v>
      </c>
    </row>
    <row r="43" spans="1:2" x14ac:dyDescent="0.25">
      <c r="A43" s="8">
        <v>531</v>
      </c>
      <c r="B43" s="8">
        <f t="shared" si="0"/>
        <v>0.52215019635797977</v>
      </c>
    </row>
    <row r="44" spans="1:2" x14ac:dyDescent="0.25">
      <c r="A44" s="8">
        <v>532</v>
      </c>
      <c r="B44" s="8">
        <f t="shared" si="0"/>
        <v>0.55810955541668272</v>
      </c>
    </row>
    <row r="45" spans="1:2" x14ac:dyDescent="0.25">
      <c r="A45" s="8">
        <v>533</v>
      </c>
      <c r="B45" s="8">
        <f t="shared" si="0"/>
        <v>0.59440165575021864</v>
      </c>
    </row>
    <row r="46" spans="1:2" x14ac:dyDescent="0.25">
      <c r="A46" s="8">
        <v>534</v>
      </c>
      <c r="B46" s="8">
        <f t="shared" si="0"/>
        <v>0.6307788205474284</v>
      </c>
    </row>
    <row r="47" spans="1:2" x14ac:dyDescent="0.25">
      <c r="A47" s="8">
        <v>535</v>
      </c>
      <c r="B47" s="8">
        <f t="shared" si="0"/>
        <v>0.66697681085847449</v>
      </c>
    </row>
    <row r="48" spans="1:2" x14ac:dyDescent="0.25">
      <c r="A48" s="8">
        <v>536</v>
      </c>
      <c r="B48" s="8">
        <f t="shared" si="0"/>
        <v>0.70271772286839773</v>
      </c>
    </row>
    <row r="49" spans="1:2" x14ac:dyDescent="0.25">
      <c r="A49" s="8">
        <v>537</v>
      </c>
      <c r="B49" s="8">
        <f t="shared" si="0"/>
        <v>0.73771330903353483</v>
      </c>
    </row>
    <row r="50" spans="1:2" x14ac:dyDescent="0.25">
      <c r="A50" s="8">
        <v>538</v>
      </c>
      <c r="B50" s="8">
        <f t="shared" si="0"/>
        <v>0.7716686738745262</v>
      </c>
    </row>
    <row r="51" spans="1:2" x14ac:dyDescent="0.25">
      <c r="A51" s="8">
        <v>539</v>
      </c>
      <c r="B51" s="8">
        <f t="shared" si="0"/>
        <v>0.80428628283847392</v>
      </c>
    </row>
    <row r="52" spans="1:2" x14ac:dyDescent="0.25">
      <c r="A52" s="8">
        <v>540</v>
      </c>
      <c r="B52" s="8">
        <f t="shared" si="0"/>
        <v>0.835270211411272</v>
      </c>
    </row>
    <row r="53" spans="1:2" x14ac:dyDescent="0.25">
      <c r="A53" s="8">
        <v>541</v>
      </c>
      <c r="B53" s="8">
        <f t="shared" si="0"/>
        <v>0.86433055200958619</v>
      </c>
    </row>
    <row r="54" spans="1:2" x14ac:dyDescent="0.25">
      <c r="A54" s="8">
        <v>542</v>
      </c>
      <c r="B54" s="8">
        <f t="shared" si="0"/>
        <v>0.89118788850418451</v>
      </c>
    </row>
    <row r="55" spans="1:2" x14ac:dyDescent="0.25">
      <c r="A55" s="8">
        <v>543</v>
      </c>
      <c r="B55" s="8">
        <f t="shared" si="0"/>
        <v>0.91557774286197768</v>
      </c>
    </row>
    <row r="56" spans="1:2" x14ac:dyDescent="0.25">
      <c r="A56" s="8">
        <v>544</v>
      </c>
      <c r="B56" s="8">
        <f t="shared" si="0"/>
        <v>0.93725489561267772</v>
      </c>
    </row>
    <row r="57" spans="1:2" x14ac:dyDescent="0.25">
      <c r="A57" s="8">
        <v>545</v>
      </c>
      <c r="B57" s="8">
        <f t="shared" si="0"/>
        <v>0.95599748183309996</v>
      </c>
    </row>
    <row r="58" spans="1:2" x14ac:dyDescent="0.25">
      <c r="A58" s="8">
        <v>546</v>
      </c>
      <c r="B58" s="8">
        <f t="shared" si="0"/>
        <v>0.97161076718912276</v>
      </c>
    </row>
    <row r="59" spans="1:2" x14ac:dyDescent="0.25">
      <c r="A59" s="8">
        <v>547</v>
      </c>
      <c r="B59" s="8">
        <f t="shared" si="0"/>
        <v>0.98393051427250833</v>
      </c>
    </row>
    <row r="60" spans="1:2" x14ac:dyDescent="0.25">
      <c r="A60" s="8">
        <v>548</v>
      </c>
      <c r="B60" s="8">
        <f t="shared" si="0"/>
        <v>0.99282585790381339</v>
      </c>
    </row>
    <row r="61" spans="1:2" x14ac:dyDescent="0.25">
      <c r="A61" s="8">
        <v>549</v>
      </c>
      <c r="B61" s="8">
        <f t="shared" si="0"/>
        <v>0.99820161902843729</v>
      </c>
    </row>
    <row r="62" spans="1:2" x14ac:dyDescent="0.25">
      <c r="A62" s="8">
        <v>550</v>
      </c>
      <c r="B62" s="8">
        <f t="shared" si="0"/>
        <v>1</v>
      </c>
    </row>
    <row r="63" spans="1:2" x14ac:dyDescent="0.25">
      <c r="A63" s="8">
        <v>551</v>
      </c>
      <c r="B63" s="8">
        <f t="shared" si="0"/>
        <v>0.99820161902843729</v>
      </c>
    </row>
    <row r="64" spans="1:2" x14ac:dyDescent="0.25">
      <c r="A64" s="8">
        <v>552</v>
      </c>
      <c r="B64" s="8">
        <f t="shared" si="0"/>
        <v>0.99282585790381339</v>
      </c>
    </row>
    <row r="65" spans="1:2" x14ac:dyDescent="0.25">
      <c r="A65" s="8">
        <v>553</v>
      </c>
      <c r="B65" s="8">
        <f t="shared" si="0"/>
        <v>0.98393051427250833</v>
      </c>
    </row>
    <row r="66" spans="1:2" x14ac:dyDescent="0.25">
      <c r="A66" s="8">
        <v>554</v>
      </c>
      <c r="B66" s="8">
        <f t="shared" si="0"/>
        <v>0.97161076718912276</v>
      </c>
    </row>
    <row r="67" spans="1:2" x14ac:dyDescent="0.25">
      <c r="A67" s="8">
        <v>555</v>
      </c>
      <c r="B67" s="8">
        <f t="shared" ref="B67:B122" si="1">_xlfn.NORM.DIST(A67,$E$2,$E$3,FALSE)/_xlfn.NORM.DIST($E$2,$E$2,$E$3,FALSE)</f>
        <v>0.95599748183309996</v>
      </c>
    </row>
    <row r="68" spans="1:2" x14ac:dyDescent="0.25">
      <c r="A68" s="8">
        <v>556</v>
      </c>
      <c r="B68" s="8">
        <f t="shared" si="1"/>
        <v>0.93725489561267772</v>
      </c>
    </row>
    <row r="69" spans="1:2" x14ac:dyDescent="0.25">
      <c r="A69" s="8">
        <v>557</v>
      </c>
      <c r="B69" s="8">
        <f t="shared" si="1"/>
        <v>0.91557774286197768</v>
      </c>
    </row>
    <row r="70" spans="1:2" x14ac:dyDescent="0.25">
      <c r="A70" s="8">
        <v>558</v>
      </c>
      <c r="B70" s="8">
        <f t="shared" si="1"/>
        <v>0.89118788850418451</v>
      </c>
    </row>
    <row r="71" spans="1:2" x14ac:dyDescent="0.25">
      <c r="A71" s="8">
        <v>559</v>
      </c>
      <c r="B71" s="8">
        <f t="shared" si="1"/>
        <v>0.86433055200958619</v>
      </c>
    </row>
    <row r="72" spans="1:2" x14ac:dyDescent="0.25">
      <c r="A72" s="8">
        <v>560</v>
      </c>
      <c r="B72" s="8">
        <f t="shared" si="1"/>
        <v>0.835270211411272</v>
      </c>
    </row>
    <row r="73" spans="1:2" x14ac:dyDescent="0.25">
      <c r="A73" s="8">
        <v>561</v>
      </c>
      <c r="B73" s="8">
        <f t="shared" si="1"/>
        <v>0.80428628283847392</v>
      </c>
    </row>
    <row r="74" spans="1:2" x14ac:dyDescent="0.25">
      <c r="A74" s="8">
        <v>562</v>
      </c>
      <c r="B74" s="8">
        <f t="shared" si="1"/>
        <v>0.7716686738745262</v>
      </c>
    </row>
    <row r="75" spans="1:2" x14ac:dyDescent="0.25">
      <c r="A75" s="8">
        <v>563</v>
      </c>
      <c r="B75" s="8">
        <f t="shared" si="1"/>
        <v>0.73771330903353483</v>
      </c>
    </row>
    <row r="76" spans="1:2" x14ac:dyDescent="0.25">
      <c r="A76" s="8">
        <v>564</v>
      </c>
      <c r="B76" s="8">
        <f t="shared" si="1"/>
        <v>0.70271772286839773</v>
      </c>
    </row>
    <row r="77" spans="1:2" x14ac:dyDescent="0.25">
      <c r="A77" s="8">
        <v>565</v>
      </c>
      <c r="B77" s="8">
        <f t="shared" si="1"/>
        <v>0.66697681085847449</v>
      </c>
    </row>
    <row r="78" spans="1:2" x14ac:dyDescent="0.25">
      <c r="A78" s="8">
        <v>566</v>
      </c>
      <c r="B78" s="8">
        <f t="shared" si="1"/>
        <v>0.6307788205474284</v>
      </c>
    </row>
    <row r="79" spans="1:2" x14ac:dyDescent="0.25">
      <c r="A79" s="8">
        <v>567</v>
      </c>
      <c r="B79" s="8">
        <f t="shared" si="1"/>
        <v>0.59440165575021864</v>
      </c>
    </row>
    <row r="80" spans="1:2" x14ac:dyDescent="0.25">
      <c r="A80" s="8">
        <v>568</v>
      </c>
      <c r="B80" s="8">
        <f t="shared" si="1"/>
        <v>0.55810955541668272</v>
      </c>
    </row>
    <row r="81" spans="1:2" x14ac:dyDescent="0.25">
      <c r="A81" s="8">
        <v>569</v>
      </c>
      <c r="B81" s="8">
        <f t="shared" si="1"/>
        <v>0.52215019635797977</v>
      </c>
    </row>
    <row r="82" spans="1:2" x14ac:dyDescent="0.25">
      <c r="A82" s="8">
        <v>570</v>
      </c>
      <c r="B82" s="8">
        <f t="shared" si="1"/>
        <v>0.48675225595997168</v>
      </c>
    </row>
    <row r="83" spans="1:2" x14ac:dyDescent="0.25">
      <c r="A83" s="8">
        <v>571</v>
      </c>
      <c r="B83" s="8">
        <f t="shared" si="1"/>
        <v>0.45212345767308282</v>
      </c>
    </row>
    <row r="84" spans="1:2" x14ac:dyDescent="0.25">
      <c r="A84" s="8">
        <v>572</v>
      </c>
      <c r="B84" s="8">
        <f t="shared" si="1"/>
        <v>0.41844910891303544</v>
      </c>
    </row>
    <row r="85" spans="1:2" x14ac:dyDescent="0.25">
      <c r="A85" s="8">
        <v>573</v>
      </c>
      <c r="B85" s="8">
        <f t="shared" si="1"/>
        <v>0.38589112843021905</v>
      </c>
    </row>
    <row r="86" spans="1:2" x14ac:dyDescent="0.25">
      <c r="A86" s="8">
        <v>574</v>
      </c>
      <c r="B86" s="8">
        <f t="shared" si="1"/>
        <v>0.35458754856089897</v>
      </c>
    </row>
    <row r="87" spans="1:2" x14ac:dyDescent="0.25">
      <c r="A87" s="8">
        <v>575</v>
      </c>
      <c r="B87" s="8">
        <f t="shared" si="1"/>
        <v>0.32465246735834968</v>
      </c>
    </row>
    <row r="88" spans="1:2" x14ac:dyDescent="0.25">
      <c r="A88" s="8">
        <v>576</v>
      </c>
      <c r="B88" s="8">
        <f t="shared" si="1"/>
        <v>0.29617641665026678</v>
      </c>
    </row>
    <row r="89" spans="1:2" x14ac:dyDescent="0.25">
      <c r="A89" s="8">
        <v>577</v>
      </c>
      <c r="B89" s="8">
        <f t="shared" si="1"/>
        <v>0.26922710474659961</v>
      </c>
    </row>
    <row r="90" spans="1:2" x14ac:dyDescent="0.25">
      <c r="A90" s="8">
        <v>578</v>
      </c>
      <c r="B90" s="8">
        <f t="shared" si="1"/>
        <v>0.2438504869265247</v>
      </c>
    </row>
    <row r="91" spans="1:2" x14ac:dyDescent="0.25">
      <c r="A91" s="8">
        <v>579</v>
      </c>
      <c r="B91" s="8">
        <f t="shared" si="1"/>
        <v>0.22007211299479595</v>
      </c>
    </row>
    <row r="92" spans="1:2" x14ac:dyDescent="0.25">
      <c r="A92" s="8">
        <v>580</v>
      </c>
      <c r="B92" s="8">
        <f t="shared" si="1"/>
        <v>0.19789869908361474</v>
      </c>
    </row>
    <row r="93" spans="1:2" x14ac:dyDescent="0.25">
      <c r="A93" s="8">
        <v>581</v>
      </c>
      <c r="B93" s="8">
        <f t="shared" si="1"/>
        <v>0.17731987039779637</v>
      </c>
    </row>
    <row r="94" spans="1:2" x14ac:dyDescent="0.25">
      <c r="A94" s="8">
        <v>582</v>
      </c>
      <c r="B94" s="8">
        <f t="shared" si="1"/>
        <v>0.1583100226219388</v>
      </c>
    </row>
    <row r="95" spans="1:2" x14ac:dyDescent="0.25">
      <c r="A95" s="8">
        <v>583</v>
      </c>
      <c r="B95" s="8">
        <f t="shared" si="1"/>
        <v>0.14083025205384148</v>
      </c>
    </row>
    <row r="96" spans="1:2" x14ac:dyDescent="0.25">
      <c r="A96" s="8">
        <v>584</v>
      </c>
      <c r="B96" s="8">
        <f t="shared" si="1"/>
        <v>0.12483030799583289</v>
      </c>
    </row>
    <row r="97" spans="1:2" x14ac:dyDescent="0.25">
      <c r="A97" s="8">
        <v>585</v>
      </c>
      <c r="B97" s="8">
        <f t="shared" si="1"/>
        <v>0.11025052530448531</v>
      </c>
    </row>
    <row r="98" spans="1:2" x14ac:dyDescent="0.25">
      <c r="A98" s="8">
        <v>586</v>
      </c>
      <c r="B98" s="8">
        <f t="shared" si="1"/>
        <v>9.7023700041287075E-2</v>
      </c>
    </row>
    <row r="99" spans="1:2" x14ac:dyDescent="0.25">
      <c r="A99" s="8">
        <v>587</v>
      </c>
      <c r="B99" s="8">
        <f t="shared" si="1"/>
        <v>8.5076876655682046E-2</v>
      </c>
    </row>
    <row r="100" spans="1:2" x14ac:dyDescent="0.25">
      <c r="A100" s="8">
        <v>588</v>
      </c>
      <c r="B100" s="8">
        <f t="shared" si="1"/>
        <v>7.4333020850789674E-2</v>
      </c>
    </row>
    <row r="101" spans="1:2" x14ac:dyDescent="0.25">
      <c r="A101" s="8">
        <v>589</v>
      </c>
      <c r="B101" s="8">
        <f t="shared" si="1"/>
        <v>6.4712558031226858E-2</v>
      </c>
    </row>
    <row r="102" spans="1:2" x14ac:dyDescent="0.25">
      <c r="A102" s="8">
        <v>590</v>
      </c>
      <c r="B102" s="8">
        <f t="shared" si="1"/>
        <v>5.6134762834133725E-2</v>
      </c>
    </row>
    <row r="103" spans="1:2" x14ac:dyDescent="0.25">
      <c r="A103" s="8">
        <v>591</v>
      </c>
      <c r="B103" s="8">
        <f t="shared" si="1"/>
        <v>4.8518990547354E-2</v>
      </c>
    </row>
    <row r="104" spans="1:2" x14ac:dyDescent="0.25">
      <c r="A104" s="8">
        <v>592</v>
      </c>
      <c r="B104" s="8">
        <f t="shared" si="1"/>
        <v>4.1785746099929272E-2</v>
      </c>
    </row>
    <row r="105" spans="1:2" x14ac:dyDescent="0.25">
      <c r="A105" s="8">
        <v>593</v>
      </c>
      <c r="B105" s="8">
        <f t="shared" si="1"/>
        <v>3.5857590676413885E-2</v>
      </c>
    </row>
    <row r="106" spans="1:2" x14ac:dyDescent="0.25">
      <c r="A106" s="8">
        <v>594</v>
      </c>
      <c r="B106" s="8">
        <f t="shared" si="1"/>
        <v>3.0659889794007553E-2</v>
      </c>
    </row>
    <row r="107" spans="1:2" x14ac:dyDescent="0.25">
      <c r="A107" s="8">
        <v>595</v>
      </c>
      <c r="B107" s="8">
        <f t="shared" si="1"/>
        <v>2.6121409853918254E-2</v>
      </c>
    </row>
    <row r="108" spans="1:2" x14ac:dyDescent="0.25">
      <c r="A108" s="8">
        <v>596</v>
      </c>
      <c r="B108" s="8">
        <f t="shared" si="1"/>
        <v>2.2174772724855216E-2</v>
      </c>
    </row>
    <row r="109" spans="1:2" x14ac:dyDescent="0.25">
      <c r="A109" s="8">
        <v>597</v>
      </c>
      <c r="B109" s="8">
        <f t="shared" si="1"/>
        <v>1.875677984858105E-2</v>
      </c>
    </row>
    <row r="110" spans="1:2" x14ac:dyDescent="0.25">
      <c r="A110" s="8">
        <v>598</v>
      </c>
      <c r="B110" s="8">
        <f t="shared" si="1"/>
        <v>1.5808618705241848E-2</v>
      </c>
    </row>
    <row r="111" spans="1:2" x14ac:dyDescent="0.25">
      <c r="A111" s="8">
        <v>599</v>
      </c>
      <c r="B111" s="8">
        <f t="shared" si="1"/>
        <v>1.3275965284957046E-2</v>
      </c>
    </row>
    <row r="112" spans="1:2" x14ac:dyDescent="0.25">
      <c r="A112" s="8">
        <v>600</v>
      </c>
      <c r="B112" s="8">
        <f t="shared" si="1"/>
        <v>1.1108996538242306E-2</v>
      </c>
    </row>
    <row r="113" spans="1:2" x14ac:dyDescent="0.25">
      <c r="A113" s="8">
        <v>601</v>
      </c>
      <c r="B113" s="8">
        <f t="shared" si="1"/>
        <v>9.2623266850553852E-3</v>
      </c>
    </row>
    <row r="114" spans="1:2" x14ac:dyDescent="0.25">
      <c r="A114" s="8">
        <v>602</v>
      </c>
      <c r="B114" s="8">
        <f t="shared" si="1"/>
        <v>7.6948808183874848E-3</v>
      </c>
    </row>
    <row r="115" spans="1:2" x14ac:dyDescent="0.25">
      <c r="A115" s="8">
        <v>603</v>
      </c>
      <c r="B115" s="8">
        <f t="shared" si="1"/>
        <v>6.369718512085289E-3</v>
      </c>
    </row>
    <row r="116" spans="1:2" x14ac:dyDescent="0.25">
      <c r="A116" s="8">
        <v>604</v>
      </c>
      <c r="B116" s="8">
        <f t="shared" si="1"/>
        <v>5.2538192009853931E-3</v>
      </c>
    </row>
    <row r="117" spans="1:2" x14ac:dyDescent="0.25">
      <c r="A117" s="8">
        <v>605</v>
      </c>
      <c r="B117" s="8">
        <f t="shared" si="1"/>
        <v>4.3178400076330815E-3</v>
      </c>
    </row>
    <row r="118" spans="1:2" x14ac:dyDescent="0.25">
      <c r="A118" s="8">
        <v>606</v>
      </c>
      <c r="B118" s="8">
        <f t="shared" si="1"/>
        <v>3.5358555015075786E-3</v>
      </c>
    </row>
    <row r="119" spans="1:2" x14ac:dyDescent="0.25">
      <c r="A119" s="8">
        <v>607</v>
      </c>
      <c r="B119" s="8">
        <f t="shared" si="1"/>
        <v>2.8850876448099608E-3</v>
      </c>
    </row>
    <row r="120" spans="1:2" x14ac:dyDescent="0.25">
      <c r="A120" s="8">
        <v>608</v>
      </c>
      <c r="B120" s="8">
        <f t="shared" si="1"/>
        <v>2.3456329471668626E-3</v>
      </c>
    </row>
    <row r="121" spans="1:2" x14ac:dyDescent="0.25">
      <c r="A121" s="8">
        <v>609</v>
      </c>
      <c r="B121" s="8">
        <f t="shared" si="1"/>
        <v>1.9001926561053196E-3</v>
      </c>
    </row>
    <row r="122" spans="1:2" x14ac:dyDescent="0.25">
      <c r="A122" s="8">
        <v>610</v>
      </c>
      <c r="B122" s="8">
        <f t="shared" si="1"/>
        <v>1.5338106793244656E-3</v>
      </c>
    </row>
    <row r="123" spans="1:2" x14ac:dyDescent="0.25">
      <c r="A123" s="8"/>
      <c r="B123" s="8"/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  <row r="158" s="8" customFormat="1" x14ac:dyDescent="0.25"/>
    <row r="159" s="8" customFormat="1" x14ac:dyDescent="0.25"/>
    <row r="160" s="8" customFormat="1" x14ac:dyDescent="0.25"/>
    <row r="161" s="8" customFormat="1" x14ac:dyDescent="0.25"/>
    <row r="162" s="8" customFormat="1" x14ac:dyDescent="0.25"/>
    <row r="163" s="8" customFormat="1" x14ac:dyDescent="0.25"/>
    <row r="164" s="8" customFormat="1" x14ac:dyDescent="0.25"/>
    <row r="165" s="8" customFormat="1" x14ac:dyDescent="0.25"/>
    <row r="166" s="8" customFormat="1" x14ac:dyDescent="0.25"/>
    <row r="167" s="8" customFormat="1" x14ac:dyDescent="0.25"/>
    <row r="168" s="8" customFormat="1" x14ac:dyDescent="0.25"/>
    <row r="169" s="8" customFormat="1" x14ac:dyDescent="0.25"/>
    <row r="170" s="8" customFormat="1" x14ac:dyDescent="0.25"/>
    <row r="171" s="8" customFormat="1" x14ac:dyDescent="0.25"/>
    <row r="172" s="8" customFormat="1" x14ac:dyDescent="0.25"/>
    <row r="173" s="8" customFormat="1" x14ac:dyDescent="0.25"/>
    <row r="174" s="8" customFormat="1" x14ac:dyDescent="0.25"/>
    <row r="175" s="8" customFormat="1" x14ac:dyDescent="0.25"/>
    <row r="176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  <row r="184" s="8" customFormat="1" x14ac:dyDescent="0.25"/>
    <row r="185" s="8" customFormat="1" x14ac:dyDescent="0.25"/>
    <row r="186" s="8" customFormat="1" x14ac:dyDescent="0.25"/>
    <row r="187" s="8" customFormat="1" x14ac:dyDescent="0.25"/>
    <row r="188" s="8" customFormat="1" x14ac:dyDescent="0.25"/>
    <row r="189" s="8" customFormat="1" x14ac:dyDescent="0.25"/>
    <row r="190" s="8" customFormat="1" x14ac:dyDescent="0.25"/>
    <row r="191" s="8" customFormat="1" x14ac:dyDescent="0.25"/>
    <row r="192" s="8" customFormat="1" x14ac:dyDescent="0.25"/>
    <row r="193" s="8" customFormat="1" x14ac:dyDescent="0.25"/>
    <row r="194" s="8" customFormat="1" x14ac:dyDescent="0.25"/>
    <row r="195" s="8" customFormat="1" x14ac:dyDescent="0.25"/>
    <row r="196" s="8" customFormat="1" x14ac:dyDescent="0.25"/>
    <row r="197" s="8" customFormat="1" x14ac:dyDescent="0.25"/>
    <row r="198" s="8" customFormat="1" x14ac:dyDescent="0.25"/>
    <row r="199" s="8" customFormat="1" x14ac:dyDescent="0.25"/>
    <row r="200" s="8" customFormat="1" x14ac:dyDescent="0.25"/>
    <row r="201" s="8" customFormat="1" x14ac:dyDescent="0.25"/>
    <row r="202" s="8" customFormat="1" x14ac:dyDescent="0.2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workbookViewId="0">
      <selection activeCell="A11" sqref="A11"/>
    </sheetView>
  </sheetViews>
  <sheetFormatPr defaultRowHeight="15" x14ac:dyDescent="0.25"/>
  <cols>
    <col min="1" max="1" width="15.28515625" customWidth="1"/>
    <col min="2" max="2" width="11.7109375" customWidth="1"/>
    <col min="3" max="4" width="12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37</v>
      </c>
    </row>
    <row r="2" spans="1:4" x14ac:dyDescent="0.25">
      <c r="A2" s="12">
        <v>44983.020833333336</v>
      </c>
      <c r="B2">
        <v>20</v>
      </c>
      <c r="C2">
        <v>3</v>
      </c>
      <c r="D2">
        <v>0.44916666666666599</v>
      </c>
    </row>
    <row r="3" spans="1:4" x14ac:dyDescent="0.25">
      <c r="A3" s="12">
        <v>44983.0625</v>
      </c>
      <c r="B3">
        <v>20</v>
      </c>
      <c r="C3">
        <v>3</v>
      </c>
      <c r="D3">
        <v>0.57499999999999896</v>
      </c>
    </row>
    <row r="4" spans="1:4" x14ac:dyDescent="0.25">
      <c r="A4" s="12">
        <v>44983.104166666664</v>
      </c>
      <c r="B4">
        <v>20</v>
      </c>
      <c r="C4">
        <v>3</v>
      </c>
      <c r="D4">
        <v>0.68699999999999894</v>
      </c>
    </row>
    <row r="5" spans="1:4" x14ac:dyDescent="0.25">
      <c r="A5" s="12">
        <v>44983.145833333336</v>
      </c>
      <c r="B5">
        <v>20</v>
      </c>
      <c r="C5">
        <v>3</v>
      </c>
      <c r="D5">
        <v>1.20533333333333</v>
      </c>
    </row>
    <row r="6" spans="1:4" x14ac:dyDescent="0.25">
      <c r="A6" s="12">
        <v>44983.1875</v>
      </c>
      <c r="B6">
        <v>20</v>
      </c>
      <c r="C6">
        <v>3</v>
      </c>
      <c r="D6">
        <v>0.772166666666666</v>
      </c>
    </row>
    <row r="7" spans="1:4" x14ac:dyDescent="0.25">
      <c r="A7" s="12">
        <v>44983.229166666664</v>
      </c>
      <c r="B7">
        <v>20</v>
      </c>
      <c r="C7">
        <v>3</v>
      </c>
      <c r="D7">
        <v>0.72866666666666602</v>
      </c>
    </row>
    <row r="8" spans="1:4" x14ac:dyDescent="0.25">
      <c r="A8" s="12">
        <v>44983.270833333336</v>
      </c>
      <c r="B8">
        <v>20</v>
      </c>
      <c r="C8">
        <v>3</v>
      </c>
      <c r="D8">
        <v>0.91766666666666596</v>
      </c>
    </row>
    <row r="9" spans="1:4" x14ac:dyDescent="0.25">
      <c r="A9" s="12">
        <v>44983.3125</v>
      </c>
      <c r="B9">
        <v>20</v>
      </c>
      <c r="C9">
        <v>3</v>
      </c>
      <c r="D9">
        <v>0.87983333333333302</v>
      </c>
    </row>
    <row r="10" spans="1:4" x14ac:dyDescent="0.25">
      <c r="A10" s="12">
        <v>44983.354166666664</v>
      </c>
      <c r="B10">
        <v>20</v>
      </c>
      <c r="C10">
        <v>3</v>
      </c>
      <c r="D10">
        <v>1.58466666666666</v>
      </c>
    </row>
    <row r="11" spans="1:4" x14ac:dyDescent="0.25">
      <c r="A11" s="12">
        <v>44983.395833333336</v>
      </c>
      <c r="B11">
        <v>20</v>
      </c>
      <c r="C11">
        <v>3</v>
      </c>
      <c r="D11">
        <v>1.28</v>
      </c>
    </row>
    <row r="12" spans="1:4" x14ac:dyDescent="0.25">
      <c r="A12" s="12">
        <v>44983.4375</v>
      </c>
      <c r="B12">
        <v>20</v>
      </c>
      <c r="C12">
        <v>3</v>
      </c>
      <c r="D12">
        <v>1.2071666666666601</v>
      </c>
    </row>
    <row r="13" spans="1:4" x14ac:dyDescent="0.25">
      <c r="A13" s="12">
        <v>44983.479166666664</v>
      </c>
      <c r="B13">
        <v>20</v>
      </c>
      <c r="C13">
        <v>3</v>
      </c>
      <c r="D13">
        <v>0.91216666666666602</v>
      </c>
    </row>
    <row r="14" spans="1:4" x14ac:dyDescent="0.25">
      <c r="A14" s="12">
        <v>44983.520833333336</v>
      </c>
      <c r="B14">
        <v>20</v>
      </c>
      <c r="C14">
        <v>3</v>
      </c>
      <c r="D14">
        <v>0.70233333333333303</v>
      </c>
    </row>
    <row r="15" spans="1:4" x14ac:dyDescent="0.25">
      <c r="A15" s="12">
        <v>44983.5625</v>
      </c>
      <c r="B15">
        <v>20</v>
      </c>
      <c r="C15">
        <v>3</v>
      </c>
      <c r="D15">
        <v>0.51533333333333298</v>
      </c>
    </row>
    <row r="16" spans="1:4" x14ac:dyDescent="0.25">
      <c r="A16" s="12">
        <v>44983.604166666664</v>
      </c>
      <c r="B16">
        <v>20</v>
      </c>
      <c r="C16">
        <v>3</v>
      </c>
      <c r="D16">
        <v>0.669333333333333</v>
      </c>
    </row>
    <row r="17" spans="1:4" x14ac:dyDescent="0.25">
      <c r="A17" s="12">
        <v>44983.645833333336</v>
      </c>
      <c r="B17">
        <v>20</v>
      </c>
      <c r="C17">
        <v>3</v>
      </c>
      <c r="D17">
        <v>0.67433333333333301</v>
      </c>
    </row>
    <row r="18" spans="1:4" x14ac:dyDescent="0.25">
      <c r="A18" s="12">
        <v>44983.6875</v>
      </c>
      <c r="B18">
        <v>20</v>
      </c>
      <c r="C18">
        <v>3</v>
      </c>
      <c r="D18">
        <v>0.46299999999999902</v>
      </c>
    </row>
    <row r="19" spans="1:4" x14ac:dyDescent="0.25">
      <c r="A19" s="12">
        <v>44983.729166666664</v>
      </c>
      <c r="B19">
        <v>20</v>
      </c>
      <c r="C19">
        <v>3</v>
      </c>
      <c r="D19">
        <v>0.46449999999999902</v>
      </c>
    </row>
    <row r="20" spans="1:4" x14ac:dyDescent="0.25">
      <c r="A20" s="12">
        <v>44983.770833333336</v>
      </c>
      <c r="B20">
        <v>20</v>
      </c>
      <c r="C20">
        <v>3</v>
      </c>
      <c r="D20">
        <v>0.52383333333333304</v>
      </c>
    </row>
    <row r="21" spans="1:4" x14ac:dyDescent="0.25">
      <c r="A21" s="12">
        <v>44983.8125</v>
      </c>
      <c r="B21">
        <v>20</v>
      </c>
      <c r="C21">
        <v>3</v>
      </c>
      <c r="D21">
        <v>0.88066666666666604</v>
      </c>
    </row>
    <row r="22" spans="1:4" x14ac:dyDescent="0.25">
      <c r="A22" s="12">
        <v>44983.854166666664</v>
      </c>
      <c r="B22">
        <v>20</v>
      </c>
      <c r="C22">
        <v>3</v>
      </c>
      <c r="D22">
        <v>1.3476666666666599</v>
      </c>
    </row>
    <row r="23" spans="1:4" x14ac:dyDescent="0.25">
      <c r="A23" s="12">
        <v>44983.895833333336</v>
      </c>
      <c r="B23">
        <v>20</v>
      </c>
      <c r="C23">
        <v>3</v>
      </c>
      <c r="D23">
        <v>2.1003333333333298</v>
      </c>
    </row>
    <row r="24" spans="1:4" x14ac:dyDescent="0.25">
      <c r="A24" s="12">
        <v>44983.9375</v>
      </c>
      <c r="B24">
        <v>20</v>
      </c>
      <c r="C24">
        <v>3</v>
      </c>
      <c r="D24">
        <v>0.78916666666666602</v>
      </c>
    </row>
    <row r="25" spans="1:4" x14ac:dyDescent="0.25">
      <c r="A25" s="12">
        <v>44983.979166666664</v>
      </c>
      <c r="B25">
        <v>20</v>
      </c>
      <c r="C25">
        <v>3</v>
      </c>
      <c r="D25">
        <v>0.55966666666666598</v>
      </c>
    </row>
    <row r="26" spans="1:4" x14ac:dyDescent="0.25">
      <c r="A26" s="12">
        <v>44984.020833333336</v>
      </c>
      <c r="B26">
        <v>20</v>
      </c>
      <c r="C26">
        <v>3</v>
      </c>
      <c r="D26">
        <v>0.68200000000000005</v>
      </c>
    </row>
    <row r="27" spans="1:4" x14ac:dyDescent="0.25">
      <c r="A27" s="12">
        <v>44984.0625</v>
      </c>
      <c r="B27">
        <v>20</v>
      </c>
      <c r="C27">
        <v>3</v>
      </c>
      <c r="D27">
        <v>0.49833333333333302</v>
      </c>
    </row>
    <row r="28" spans="1:4" x14ac:dyDescent="0.25">
      <c r="A28" s="12">
        <v>44984.104166666664</v>
      </c>
      <c r="B28">
        <v>20</v>
      </c>
      <c r="C28">
        <v>3</v>
      </c>
      <c r="D28">
        <v>0.37083333333333302</v>
      </c>
    </row>
    <row r="29" spans="1:4" x14ac:dyDescent="0.25">
      <c r="A29" s="12">
        <v>44984.145833333336</v>
      </c>
      <c r="B29">
        <v>20</v>
      </c>
      <c r="C29">
        <v>3</v>
      </c>
      <c r="D29">
        <v>0.30049999999999999</v>
      </c>
    </row>
    <row r="30" spans="1:4" x14ac:dyDescent="0.25">
      <c r="A30" s="12">
        <v>44984.1875</v>
      </c>
      <c r="B30">
        <v>20</v>
      </c>
      <c r="C30">
        <v>3</v>
      </c>
      <c r="D30">
        <v>0.222</v>
      </c>
    </row>
    <row r="31" spans="1:4" x14ac:dyDescent="0.25">
      <c r="A31" s="12">
        <v>44984.229166666664</v>
      </c>
      <c r="B31">
        <v>20</v>
      </c>
      <c r="C31">
        <v>3</v>
      </c>
      <c r="D31">
        <v>0.267666666666666</v>
      </c>
    </row>
    <row r="32" spans="1:4" x14ac:dyDescent="0.25">
      <c r="A32" s="12">
        <v>44984.270833333336</v>
      </c>
      <c r="B32">
        <v>20</v>
      </c>
      <c r="C32">
        <v>3</v>
      </c>
      <c r="D32">
        <v>0.288333333333333</v>
      </c>
    </row>
    <row r="33" spans="1:4" x14ac:dyDescent="0.25">
      <c r="A33" s="12">
        <v>44984.3125</v>
      </c>
      <c r="B33">
        <v>20</v>
      </c>
      <c r="C33">
        <v>3</v>
      </c>
      <c r="D33">
        <v>0.42333333333333301</v>
      </c>
    </row>
    <row r="34" spans="1:4" x14ac:dyDescent="0.25">
      <c r="A34" s="12">
        <v>44984.354166666664</v>
      </c>
      <c r="B34">
        <v>20</v>
      </c>
      <c r="C34">
        <v>3</v>
      </c>
      <c r="D34">
        <v>0.60666666666666602</v>
      </c>
    </row>
    <row r="35" spans="1:4" x14ac:dyDescent="0.25">
      <c r="A35" s="12">
        <v>44984.395833333336</v>
      </c>
      <c r="B35">
        <v>20</v>
      </c>
      <c r="C35">
        <v>3</v>
      </c>
      <c r="D35">
        <v>0.54583333333333295</v>
      </c>
    </row>
    <row r="36" spans="1:4" x14ac:dyDescent="0.25">
      <c r="A36" s="12">
        <v>44984.4375</v>
      </c>
      <c r="B36">
        <v>20</v>
      </c>
      <c r="C36">
        <v>3</v>
      </c>
      <c r="D36">
        <v>0.85633333333333295</v>
      </c>
    </row>
    <row r="37" spans="1:4" x14ac:dyDescent="0.25">
      <c r="A37" s="12">
        <v>44984.479166666664</v>
      </c>
      <c r="B37">
        <v>20</v>
      </c>
      <c r="C37">
        <v>3</v>
      </c>
      <c r="D37">
        <v>0.84933333333333305</v>
      </c>
    </row>
    <row r="38" spans="1:4" x14ac:dyDescent="0.25">
      <c r="A38" s="12">
        <v>44984.520833333336</v>
      </c>
      <c r="B38">
        <v>20</v>
      </c>
      <c r="C38">
        <v>3</v>
      </c>
      <c r="D38">
        <v>0.72799999999999898</v>
      </c>
    </row>
    <row r="39" spans="1:4" x14ac:dyDescent="0.25">
      <c r="A39" s="12">
        <v>44984.5625</v>
      </c>
      <c r="B39">
        <v>20</v>
      </c>
      <c r="C39">
        <v>3</v>
      </c>
      <c r="D39">
        <v>1.5751666666666599</v>
      </c>
    </row>
    <row r="40" spans="1:4" x14ac:dyDescent="0.25">
      <c r="A40" s="12">
        <v>44984.604166666664</v>
      </c>
      <c r="B40">
        <v>20</v>
      </c>
      <c r="C40">
        <v>3</v>
      </c>
      <c r="D40">
        <v>20.509166666666601</v>
      </c>
    </row>
    <row r="41" spans="1:4" x14ac:dyDescent="0.25">
      <c r="A41" s="12">
        <v>44984.645833333336</v>
      </c>
      <c r="B41">
        <v>20</v>
      </c>
      <c r="C41">
        <v>3</v>
      </c>
      <c r="D41">
        <v>2.2134999999999998</v>
      </c>
    </row>
    <row r="42" spans="1:4" x14ac:dyDescent="0.25">
      <c r="A42" s="12">
        <v>44984.6875</v>
      </c>
      <c r="B42">
        <v>20</v>
      </c>
      <c r="C42">
        <v>3</v>
      </c>
      <c r="D42">
        <v>1.3716666666666599</v>
      </c>
    </row>
    <row r="43" spans="1:4" x14ac:dyDescent="0.25">
      <c r="A43" s="12">
        <v>44984.729166666664</v>
      </c>
      <c r="B43">
        <v>20</v>
      </c>
      <c r="C43">
        <v>3</v>
      </c>
      <c r="D43">
        <v>1.0836666666666599</v>
      </c>
    </row>
    <row r="44" spans="1:4" x14ac:dyDescent="0.25">
      <c r="A44" s="12">
        <v>44984.770833333336</v>
      </c>
      <c r="B44">
        <v>20</v>
      </c>
      <c r="C44">
        <v>3</v>
      </c>
      <c r="D44">
        <v>1.2853333333333301</v>
      </c>
    </row>
    <row r="45" spans="1:4" x14ac:dyDescent="0.25">
      <c r="A45" s="12">
        <v>44984.8125</v>
      </c>
      <c r="B45">
        <v>20</v>
      </c>
      <c r="C45">
        <v>3</v>
      </c>
      <c r="D45">
        <v>1.5471666666666599</v>
      </c>
    </row>
    <row r="46" spans="1:4" x14ac:dyDescent="0.25">
      <c r="A46" s="12">
        <v>44984.854166666664</v>
      </c>
      <c r="B46">
        <v>20</v>
      </c>
      <c r="C46">
        <v>3</v>
      </c>
      <c r="D46">
        <v>1.2143333333333299</v>
      </c>
    </row>
    <row r="47" spans="1:4" x14ac:dyDescent="0.25">
      <c r="A47" s="12">
        <v>44984.895833333336</v>
      </c>
      <c r="B47">
        <v>20</v>
      </c>
      <c r="C47">
        <v>3</v>
      </c>
      <c r="D47">
        <v>8.8489999999999895</v>
      </c>
    </row>
    <row r="48" spans="1:4" x14ac:dyDescent="0.25">
      <c r="A48" s="12">
        <v>44984.9375</v>
      </c>
      <c r="B48">
        <v>20</v>
      </c>
      <c r="C48">
        <v>3</v>
      </c>
      <c r="D48">
        <v>2.3091666666666599</v>
      </c>
    </row>
    <row r="49" spans="1:4" x14ac:dyDescent="0.25">
      <c r="A49" s="12">
        <v>44984.979166666664</v>
      </c>
      <c r="B49">
        <v>20</v>
      </c>
      <c r="C49">
        <v>3</v>
      </c>
      <c r="D49">
        <v>1.13733333333333</v>
      </c>
    </row>
    <row r="50" spans="1:4" x14ac:dyDescent="0.25">
      <c r="A50" s="12">
        <v>44985.020833333336</v>
      </c>
      <c r="B50">
        <v>20</v>
      </c>
      <c r="C50">
        <v>3</v>
      </c>
      <c r="D50">
        <v>1.179</v>
      </c>
    </row>
    <row r="51" spans="1:4" x14ac:dyDescent="0.25">
      <c r="A51" s="12">
        <v>44985.0625</v>
      </c>
      <c r="B51">
        <v>20</v>
      </c>
      <c r="C51">
        <v>3</v>
      </c>
      <c r="D51">
        <v>1.1415</v>
      </c>
    </row>
    <row r="52" spans="1:4" x14ac:dyDescent="0.25">
      <c r="A52" s="12">
        <v>44985.104166666664</v>
      </c>
      <c r="B52">
        <v>20</v>
      </c>
      <c r="C52">
        <v>3</v>
      </c>
      <c r="D52">
        <v>0.68883333333333296</v>
      </c>
    </row>
    <row r="53" spans="1:4" x14ac:dyDescent="0.25">
      <c r="A53" s="12">
        <v>44985.145833333336</v>
      </c>
      <c r="B53">
        <v>20</v>
      </c>
      <c r="C53">
        <v>3</v>
      </c>
      <c r="D53">
        <v>0.91483333333333305</v>
      </c>
    </row>
    <row r="54" spans="1:4" x14ac:dyDescent="0.25">
      <c r="A54" s="12">
        <v>44985.1875</v>
      </c>
      <c r="B54">
        <v>20</v>
      </c>
      <c r="C54">
        <v>3</v>
      </c>
      <c r="D54">
        <v>0.83983333333333299</v>
      </c>
    </row>
    <row r="55" spans="1:4" x14ac:dyDescent="0.25">
      <c r="A55" s="12">
        <v>44985.229166666664</v>
      </c>
      <c r="B55">
        <v>20</v>
      </c>
      <c r="C55">
        <v>3</v>
      </c>
      <c r="D55">
        <v>1.8716666666666599</v>
      </c>
    </row>
    <row r="56" spans="1:4" x14ac:dyDescent="0.25">
      <c r="A56" s="12">
        <v>44985.270833333336</v>
      </c>
      <c r="B56">
        <v>20</v>
      </c>
      <c r="C56">
        <v>3</v>
      </c>
      <c r="D56">
        <v>3.0921666666666598</v>
      </c>
    </row>
    <row r="57" spans="1:4" x14ac:dyDescent="0.25">
      <c r="A57" s="12">
        <v>44985.3125</v>
      </c>
      <c r="B57">
        <v>20</v>
      </c>
      <c r="C57">
        <v>3</v>
      </c>
      <c r="D57">
        <v>2.75199999999999</v>
      </c>
    </row>
    <row r="58" spans="1:4" x14ac:dyDescent="0.25">
      <c r="A58" s="12">
        <v>44985.354166666664</v>
      </c>
      <c r="B58">
        <v>20</v>
      </c>
      <c r="C58">
        <v>3</v>
      </c>
      <c r="D58">
        <v>2.9466666666666601</v>
      </c>
    </row>
    <row r="59" spans="1:4" x14ac:dyDescent="0.25">
      <c r="A59" s="12">
        <v>44985.395833333336</v>
      </c>
      <c r="B59">
        <v>20</v>
      </c>
      <c r="C59">
        <v>3</v>
      </c>
      <c r="D59">
        <v>2.8523333333333301</v>
      </c>
    </row>
    <row r="60" spans="1:4" x14ac:dyDescent="0.25">
      <c r="A60" s="12">
        <v>44985.4375</v>
      </c>
      <c r="B60">
        <v>20</v>
      </c>
      <c r="C60">
        <v>3</v>
      </c>
      <c r="D60">
        <v>0.685499999999999</v>
      </c>
    </row>
    <row r="61" spans="1:4" x14ac:dyDescent="0.25">
      <c r="A61" s="12">
        <v>44985.479166666664</v>
      </c>
      <c r="B61">
        <v>20</v>
      </c>
      <c r="C61">
        <v>3</v>
      </c>
      <c r="D61">
        <v>0.55389830508474502</v>
      </c>
    </row>
    <row r="62" spans="1:4" x14ac:dyDescent="0.25">
      <c r="A62" s="12">
        <v>44985.520833333336</v>
      </c>
      <c r="B62">
        <v>20</v>
      </c>
      <c r="C62">
        <v>3</v>
      </c>
      <c r="D62">
        <v>0.436499999999999</v>
      </c>
    </row>
    <row r="63" spans="1:4" x14ac:dyDescent="0.25">
      <c r="A63" s="12">
        <v>44985.5625</v>
      </c>
      <c r="B63">
        <v>20</v>
      </c>
      <c r="C63">
        <v>3</v>
      </c>
      <c r="D63">
        <v>0.50366666666666604</v>
      </c>
    </row>
    <row r="64" spans="1:4" x14ac:dyDescent="0.25">
      <c r="A64" s="12">
        <v>44985.604166666664</v>
      </c>
      <c r="B64">
        <v>20</v>
      </c>
      <c r="C64">
        <v>3</v>
      </c>
      <c r="D64">
        <v>0.69616666666666605</v>
      </c>
    </row>
    <row r="65" spans="1:4" x14ac:dyDescent="0.25">
      <c r="A65" s="12">
        <v>44985.645833333336</v>
      </c>
      <c r="B65">
        <v>20</v>
      </c>
      <c r="C65">
        <v>3</v>
      </c>
      <c r="D65">
        <v>0.90100000000000002</v>
      </c>
    </row>
    <row r="66" spans="1:4" x14ac:dyDescent="0.25">
      <c r="A66" s="12">
        <v>44985.6875</v>
      </c>
      <c r="B66">
        <v>20</v>
      </c>
      <c r="C66">
        <v>3</v>
      </c>
      <c r="D66">
        <v>1.07449999999999</v>
      </c>
    </row>
    <row r="67" spans="1:4" x14ac:dyDescent="0.25">
      <c r="A67" s="12">
        <v>44985.729166666664</v>
      </c>
      <c r="B67">
        <v>20</v>
      </c>
      <c r="C67">
        <v>3</v>
      </c>
      <c r="D67">
        <v>0.92599999999999905</v>
      </c>
    </row>
    <row r="68" spans="1:4" x14ac:dyDescent="0.25">
      <c r="A68" s="12">
        <v>44985.770833333336</v>
      </c>
      <c r="B68">
        <v>20</v>
      </c>
      <c r="C68">
        <v>3</v>
      </c>
      <c r="D68">
        <v>1.04249999999999</v>
      </c>
    </row>
    <row r="69" spans="1:4" x14ac:dyDescent="0.25">
      <c r="A69" s="12">
        <v>44985.8125</v>
      </c>
      <c r="B69">
        <v>20</v>
      </c>
      <c r="C69">
        <v>3</v>
      </c>
      <c r="D69">
        <v>1.39683333333333</v>
      </c>
    </row>
    <row r="70" spans="1:4" x14ac:dyDescent="0.25">
      <c r="A70" s="12">
        <v>44985.854166666664</v>
      </c>
      <c r="B70">
        <v>20</v>
      </c>
      <c r="C70">
        <v>3</v>
      </c>
      <c r="D70">
        <v>2.3764999999999898</v>
      </c>
    </row>
    <row r="71" spans="1:4" x14ac:dyDescent="0.25">
      <c r="A71" s="12">
        <v>44985.895833333336</v>
      </c>
      <c r="B71">
        <v>20</v>
      </c>
      <c r="C71">
        <v>3</v>
      </c>
      <c r="D71">
        <v>1.9763333333333299</v>
      </c>
    </row>
    <row r="72" spans="1:4" x14ac:dyDescent="0.25">
      <c r="A72" s="12">
        <v>44985.9375</v>
      </c>
      <c r="B72">
        <v>20</v>
      </c>
      <c r="C72">
        <v>3</v>
      </c>
      <c r="D72">
        <v>1.8156666666666601</v>
      </c>
    </row>
    <row r="73" spans="1:4" x14ac:dyDescent="0.25">
      <c r="A73" s="12">
        <v>44985.979166666664</v>
      </c>
      <c r="B73">
        <v>20</v>
      </c>
      <c r="C73">
        <v>3</v>
      </c>
      <c r="D73">
        <v>1.4927118644067701</v>
      </c>
    </row>
    <row r="74" spans="1:4" x14ac:dyDescent="0.25">
      <c r="A74" s="3"/>
    </row>
    <row r="75" spans="1:4" x14ac:dyDescent="0.25">
      <c r="A75" s="3"/>
    </row>
    <row r="76" spans="1:4" x14ac:dyDescent="0.25">
      <c r="A76" s="3"/>
    </row>
    <row r="77" spans="1:4" x14ac:dyDescent="0.25">
      <c r="A77" s="3"/>
    </row>
    <row r="78" spans="1:4" x14ac:dyDescent="0.25">
      <c r="A78" s="3"/>
    </row>
    <row r="79" spans="1:4" x14ac:dyDescent="0.25">
      <c r="A79" s="3"/>
    </row>
    <row r="80" spans="1:4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workbookViewId="0">
      <selection activeCell="D22" sqref="D22"/>
    </sheetView>
  </sheetViews>
  <sheetFormatPr defaultRowHeight="15" x14ac:dyDescent="0.25"/>
  <cols>
    <col min="1" max="1" width="15.28515625" customWidth="1"/>
    <col min="2" max="7" width="8.7109375" customWidth="1"/>
  </cols>
  <sheetData>
    <row r="1" spans="1:7" x14ac:dyDescent="0.25">
      <c r="A1" s="2" t="s">
        <v>0</v>
      </c>
      <c r="B1" s="2" t="s">
        <v>3</v>
      </c>
      <c r="C1" s="2" t="s">
        <v>4</v>
      </c>
      <c r="D1" s="7" t="s">
        <v>5</v>
      </c>
      <c r="E1" s="2"/>
      <c r="F1" s="2"/>
      <c r="G1" s="2"/>
    </row>
    <row r="2" spans="1:7" x14ac:dyDescent="0.25">
      <c r="A2" s="12">
        <v>44983.020833333336</v>
      </c>
      <c r="B2" s="11">
        <f>90-5-DEGREES(ATAN(5.79/8/1.71))</f>
        <v>62.059702154995932</v>
      </c>
      <c r="C2" s="11">
        <f>90-16-DEGREES(ATAN(5.79/8/1.71))</f>
        <v>51.059702154995932</v>
      </c>
      <c r="D2" s="11">
        <f>90-90+DEGREES(ATAN(5.79/8/1.71))</f>
        <v>22.940297845004071</v>
      </c>
      <c r="E2" s="11"/>
      <c r="F2" s="11"/>
      <c r="G2" s="11"/>
    </row>
    <row r="3" spans="1:7" x14ac:dyDescent="0.25">
      <c r="A3" s="12">
        <v>44983.0625</v>
      </c>
      <c r="B3" s="11">
        <f t="shared" ref="B3:D8" si="0">B2</f>
        <v>62.059702154995932</v>
      </c>
      <c r="C3" s="11">
        <f t="shared" si="0"/>
        <v>51.059702154995932</v>
      </c>
      <c r="D3" s="11">
        <f t="shared" si="0"/>
        <v>22.940297845004071</v>
      </c>
      <c r="E3" s="11"/>
      <c r="F3" s="11"/>
      <c r="G3" s="11"/>
    </row>
    <row r="4" spans="1:7" x14ac:dyDescent="0.25">
      <c r="A4" s="12">
        <v>44983.104166666664</v>
      </c>
      <c r="B4" s="11">
        <f t="shared" si="0"/>
        <v>62.059702154995932</v>
      </c>
      <c r="C4" s="11">
        <f t="shared" si="0"/>
        <v>51.059702154995932</v>
      </c>
      <c r="D4" s="11">
        <f t="shared" si="0"/>
        <v>22.940297845004071</v>
      </c>
      <c r="E4" s="11"/>
      <c r="F4" s="11"/>
      <c r="G4" s="11"/>
    </row>
    <row r="5" spans="1:7" x14ac:dyDescent="0.25">
      <c r="A5" s="12">
        <v>44983.145833333336</v>
      </c>
      <c r="B5" s="11">
        <f t="shared" si="0"/>
        <v>62.059702154995932</v>
      </c>
      <c r="C5" s="11">
        <f t="shared" si="0"/>
        <v>51.059702154995932</v>
      </c>
      <c r="D5" s="11">
        <f t="shared" si="0"/>
        <v>22.940297845004071</v>
      </c>
      <c r="E5" s="11"/>
      <c r="F5" s="11"/>
      <c r="G5" s="11"/>
    </row>
    <row r="6" spans="1:7" x14ac:dyDescent="0.25">
      <c r="A6" s="12">
        <v>44983.1875</v>
      </c>
      <c r="B6" s="11">
        <f t="shared" si="0"/>
        <v>62.059702154995932</v>
      </c>
      <c r="C6" s="11">
        <f t="shared" si="0"/>
        <v>51.059702154995932</v>
      </c>
      <c r="D6" s="11">
        <f t="shared" si="0"/>
        <v>22.940297845004071</v>
      </c>
      <c r="E6" s="11"/>
      <c r="F6" s="11"/>
      <c r="G6" s="11"/>
    </row>
    <row r="7" spans="1:7" x14ac:dyDescent="0.25">
      <c r="A7" s="12">
        <v>44983.229166666664</v>
      </c>
      <c r="B7" s="11">
        <f t="shared" si="0"/>
        <v>62.059702154995932</v>
      </c>
      <c r="C7" s="11">
        <f t="shared" si="0"/>
        <v>51.059702154995932</v>
      </c>
      <c r="D7" s="11">
        <f t="shared" si="0"/>
        <v>22.940297845004071</v>
      </c>
      <c r="E7" s="11"/>
      <c r="F7" s="11"/>
      <c r="G7" s="11"/>
    </row>
    <row r="8" spans="1:7" x14ac:dyDescent="0.25">
      <c r="A8" s="12">
        <v>44983.270833333336</v>
      </c>
      <c r="B8" s="11">
        <f t="shared" si="0"/>
        <v>62.059702154995932</v>
      </c>
      <c r="C8" s="11">
        <f t="shared" si="0"/>
        <v>51.059702154995932</v>
      </c>
      <c r="D8" s="11">
        <f t="shared" si="0"/>
        <v>22.940297845004071</v>
      </c>
      <c r="E8" s="11"/>
      <c r="F8" s="11"/>
      <c r="G8" s="11"/>
    </row>
    <row r="9" spans="1:7" x14ac:dyDescent="0.25">
      <c r="A9" s="12">
        <v>44983.3125</v>
      </c>
      <c r="B9" s="11">
        <v>67.843471902179814</v>
      </c>
      <c r="C9" s="11">
        <v>67.843471902179814</v>
      </c>
      <c r="D9" s="11">
        <v>67.843471902179814</v>
      </c>
      <c r="E9" s="11"/>
      <c r="F9" s="11"/>
      <c r="G9" s="11"/>
    </row>
    <row r="10" spans="1:7" x14ac:dyDescent="0.25">
      <c r="A10" s="12">
        <v>44983.354166666664</v>
      </c>
      <c r="B10" s="11">
        <v>57.655660227913877</v>
      </c>
      <c r="C10" s="11">
        <v>57.655660227913877</v>
      </c>
      <c r="D10" s="11">
        <v>57.655660227913877</v>
      </c>
      <c r="E10" s="11"/>
      <c r="F10" s="11"/>
      <c r="G10" s="11"/>
    </row>
    <row r="11" spans="1:7" x14ac:dyDescent="0.25">
      <c r="A11" s="12">
        <v>44983.395833333336</v>
      </c>
      <c r="B11" s="11">
        <v>44.963290558268227</v>
      </c>
      <c r="C11" s="11">
        <v>44.963290558268227</v>
      </c>
      <c r="D11" s="11">
        <v>44.963290558268227</v>
      </c>
      <c r="E11" s="11"/>
      <c r="F11" s="11"/>
      <c r="G11" s="11"/>
    </row>
    <row r="12" spans="1:7" x14ac:dyDescent="0.25">
      <c r="A12" s="12">
        <v>44983.4375</v>
      </c>
      <c r="B12" s="11">
        <v>30.365285248182516</v>
      </c>
      <c r="C12" s="11">
        <v>30.365285248182516</v>
      </c>
      <c r="D12" s="11">
        <v>30.365285248182516</v>
      </c>
      <c r="E12" s="11"/>
      <c r="F12" s="11"/>
      <c r="G12" s="11"/>
    </row>
    <row r="13" spans="1:7" x14ac:dyDescent="0.25">
      <c r="A13" s="12">
        <v>44983.479166666664</v>
      </c>
      <c r="B13" s="11">
        <v>13.094418089847544</v>
      </c>
      <c r="C13" s="11">
        <v>13.094418089847544</v>
      </c>
      <c r="D13" s="11">
        <v>13.094418089847544</v>
      </c>
      <c r="E13" s="11"/>
      <c r="F13" s="11"/>
      <c r="G13" s="11"/>
    </row>
    <row r="14" spans="1:7" x14ac:dyDescent="0.25">
      <c r="A14" s="12">
        <v>44983.520833333336</v>
      </c>
      <c r="B14" s="11">
        <v>10.754215233849962</v>
      </c>
      <c r="C14" s="11">
        <v>10.754215233849962</v>
      </c>
      <c r="D14" s="11">
        <v>10.754215233849962</v>
      </c>
      <c r="E14" s="11"/>
      <c r="F14" s="11"/>
      <c r="G14" s="11"/>
    </row>
    <row r="15" spans="1:7" x14ac:dyDescent="0.25">
      <c r="A15" s="12">
        <v>44983.5625</v>
      </c>
      <c r="B15" s="11">
        <v>28.878337286024625</v>
      </c>
      <c r="C15" s="11">
        <v>28.878337286024625</v>
      </c>
      <c r="D15" s="11">
        <v>28.878337286024625</v>
      </c>
      <c r="E15" s="11"/>
      <c r="F15" s="11"/>
      <c r="G15" s="11"/>
    </row>
    <row r="16" spans="1:7" x14ac:dyDescent="0.25">
      <c r="A16" s="12">
        <v>44983.604166666664</v>
      </c>
      <c r="B16" s="11">
        <v>50.027880482918718</v>
      </c>
      <c r="C16" s="11">
        <v>50.027880482918718</v>
      </c>
      <c r="D16" s="11">
        <v>50.027880482918718</v>
      </c>
      <c r="E16" s="11"/>
      <c r="F16" s="11"/>
      <c r="G16" s="11"/>
    </row>
    <row r="17" spans="1:7" x14ac:dyDescent="0.25">
      <c r="A17" s="12">
        <v>44983.645833333336</v>
      </c>
      <c r="B17" s="11">
        <v>68.63996714851865</v>
      </c>
      <c r="C17" s="11">
        <v>68.63996714851865</v>
      </c>
      <c r="D17" s="11">
        <v>68.63996714851865</v>
      </c>
      <c r="E17" s="11"/>
      <c r="F17" s="11"/>
      <c r="G17" s="11"/>
    </row>
    <row r="18" spans="1:7" x14ac:dyDescent="0.25">
      <c r="A18" s="12">
        <v>44983.6875</v>
      </c>
      <c r="B18" s="11">
        <v>84.357124273982819</v>
      </c>
      <c r="C18" s="11">
        <v>84.357124273982819</v>
      </c>
      <c r="D18" s="11">
        <v>84.357124273982819</v>
      </c>
      <c r="E18" s="11"/>
      <c r="F18" s="11"/>
      <c r="G18" s="11"/>
    </row>
    <row r="19" spans="1:7" x14ac:dyDescent="0.25">
      <c r="A19" s="12">
        <v>44983.729166666664</v>
      </c>
      <c r="B19" s="11">
        <v>97.809437274582024</v>
      </c>
      <c r="C19" s="11">
        <v>97.809437274582024</v>
      </c>
      <c r="D19" s="11">
        <v>97.809437274582024</v>
      </c>
      <c r="E19" s="11"/>
      <c r="F19" s="11"/>
      <c r="G19" s="11"/>
    </row>
    <row r="20" spans="1:7" x14ac:dyDescent="0.25">
      <c r="A20" s="12">
        <v>44983.770833333336</v>
      </c>
      <c r="B20" s="11">
        <v>88.068756792572984</v>
      </c>
      <c r="C20" s="11">
        <v>88.068756792572984</v>
      </c>
      <c r="D20" s="11">
        <v>88.068756792572984</v>
      </c>
      <c r="E20" s="11"/>
      <c r="F20" s="11"/>
      <c r="G20" s="11"/>
    </row>
    <row r="21" spans="1:7" x14ac:dyDescent="0.25">
      <c r="A21" s="12">
        <v>44983.8125</v>
      </c>
      <c r="B21" s="11">
        <f>90-5-DEGREES(ATAN(5.79/8/1.71))</f>
        <v>62.059702154995932</v>
      </c>
      <c r="C21" s="11">
        <f>90-16-DEGREES(ATAN(5.79/8/1.71))</f>
        <v>51.059702154995932</v>
      </c>
      <c r="D21" s="11">
        <f>90-90+DEGREES(ATAN(5.79/8/1.71))</f>
        <v>22.940297845004071</v>
      </c>
      <c r="E21" s="11"/>
      <c r="F21" s="11"/>
      <c r="G21" s="11"/>
    </row>
    <row r="22" spans="1:7" x14ac:dyDescent="0.25">
      <c r="A22" s="12">
        <v>44983.854166666664</v>
      </c>
      <c r="B22" s="11">
        <f t="shared" ref="B22:D32" si="1">B21</f>
        <v>62.059702154995932</v>
      </c>
      <c r="C22" s="11">
        <f t="shared" si="1"/>
        <v>51.059702154995932</v>
      </c>
      <c r="D22" s="11">
        <f t="shared" si="1"/>
        <v>22.940297845004071</v>
      </c>
      <c r="E22" s="11"/>
      <c r="F22" s="11"/>
      <c r="G22" s="11"/>
    </row>
    <row r="23" spans="1:7" x14ac:dyDescent="0.25">
      <c r="A23" s="12">
        <v>44983.895833333336</v>
      </c>
      <c r="B23" s="11">
        <f t="shared" si="1"/>
        <v>62.059702154995932</v>
      </c>
      <c r="C23" s="11">
        <f t="shared" si="1"/>
        <v>51.059702154995932</v>
      </c>
      <c r="D23" s="11">
        <f t="shared" si="1"/>
        <v>22.940297845004071</v>
      </c>
      <c r="E23" s="11"/>
      <c r="F23" s="11"/>
      <c r="G23" s="11"/>
    </row>
    <row r="24" spans="1:7" x14ac:dyDescent="0.25">
      <c r="A24" s="12">
        <v>44983.9375</v>
      </c>
      <c r="B24" s="11">
        <f t="shared" si="1"/>
        <v>62.059702154995932</v>
      </c>
      <c r="C24" s="11">
        <f t="shared" si="1"/>
        <v>51.059702154995932</v>
      </c>
      <c r="D24" s="11">
        <f t="shared" si="1"/>
        <v>22.940297845004071</v>
      </c>
      <c r="E24" s="11"/>
      <c r="F24" s="11"/>
      <c r="G24" s="11"/>
    </row>
    <row r="25" spans="1:7" x14ac:dyDescent="0.25">
      <c r="A25" s="12">
        <v>44983.979166666664</v>
      </c>
      <c r="B25" s="11">
        <f t="shared" si="1"/>
        <v>62.059702154995932</v>
      </c>
      <c r="C25" s="11">
        <f t="shared" si="1"/>
        <v>51.059702154995932</v>
      </c>
      <c r="D25" s="11">
        <f t="shared" si="1"/>
        <v>22.940297845004071</v>
      </c>
      <c r="E25" s="11"/>
      <c r="F25" s="11"/>
      <c r="G25" s="11"/>
    </row>
    <row r="26" spans="1:7" x14ac:dyDescent="0.25">
      <c r="A26" s="12">
        <v>44984.020833333336</v>
      </c>
      <c r="B26" s="11">
        <f t="shared" si="1"/>
        <v>62.059702154995932</v>
      </c>
      <c r="C26" s="11">
        <f t="shared" si="1"/>
        <v>51.059702154995932</v>
      </c>
      <c r="D26" s="11">
        <f t="shared" si="1"/>
        <v>22.940297845004071</v>
      </c>
      <c r="E26" s="11"/>
      <c r="F26" s="11"/>
      <c r="G26" s="11"/>
    </row>
    <row r="27" spans="1:7" x14ac:dyDescent="0.25">
      <c r="A27" s="12">
        <v>44984.0625</v>
      </c>
      <c r="B27" s="11">
        <f t="shared" si="1"/>
        <v>62.059702154995932</v>
      </c>
      <c r="C27" s="11">
        <f t="shared" si="1"/>
        <v>51.059702154995932</v>
      </c>
      <c r="D27" s="11">
        <f t="shared" si="1"/>
        <v>22.940297845004071</v>
      </c>
      <c r="E27" s="11"/>
      <c r="F27" s="11"/>
      <c r="G27" s="11"/>
    </row>
    <row r="28" spans="1:7" x14ac:dyDescent="0.25">
      <c r="A28" s="12">
        <v>44984.104166666664</v>
      </c>
      <c r="B28" s="11">
        <f t="shared" si="1"/>
        <v>62.059702154995932</v>
      </c>
      <c r="C28" s="11">
        <f t="shared" si="1"/>
        <v>51.059702154995932</v>
      </c>
      <c r="D28" s="11">
        <f t="shared" si="1"/>
        <v>22.940297845004071</v>
      </c>
      <c r="E28" s="11"/>
      <c r="F28" s="11"/>
      <c r="G28" s="11"/>
    </row>
    <row r="29" spans="1:7" x14ac:dyDescent="0.25">
      <c r="A29" s="12">
        <v>44984.145833333336</v>
      </c>
      <c r="B29" s="11">
        <f t="shared" si="1"/>
        <v>62.059702154995932</v>
      </c>
      <c r="C29" s="11">
        <f t="shared" si="1"/>
        <v>51.059702154995932</v>
      </c>
      <c r="D29" s="11">
        <f t="shared" si="1"/>
        <v>22.940297845004071</v>
      </c>
      <c r="E29" s="11"/>
      <c r="F29" s="11"/>
      <c r="G29" s="11"/>
    </row>
    <row r="30" spans="1:7" x14ac:dyDescent="0.25">
      <c r="A30" s="12">
        <v>44984.1875</v>
      </c>
      <c r="B30" s="11">
        <f t="shared" si="1"/>
        <v>62.059702154995932</v>
      </c>
      <c r="C30" s="11">
        <f t="shared" si="1"/>
        <v>51.059702154995932</v>
      </c>
      <c r="D30" s="11">
        <f t="shared" si="1"/>
        <v>22.940297845004071</v>
      </c>
      <c r="E30" s="11"/>
      <c r="F30" s="11"/>
      <c r="G30" s="11"/>
    </row>
    <row r="31" spans="1:7" x14ac:dyDescent="0.25">
      <c r="A31" s="12">
        <v>44984.229166666664</v>
      </c>
      <c r="B31" s="11">
        <f t="shared" si="1"/>
        <v>62.059702154995932</v>
      </c>
      <c r="C31" s="11">
        <f t="shared" si="1"/>
        <v>51.059702154995932</v>
      </c>
      <c r="D31" s="11">
        <f t="shared" si="1"/>
        <v>22.940297845004071</v>
      </c>
      <c r="E31" s="11"/>
      <c r="F31" s="11"/>
      <c r="G31" s="11"/>
    </row>
    <row r="32" spans="1:7" x14ac:dyDescent="0.25">
      <c r="A32" s="12">
        <v>44984.270833333336</v>
      </c>
      <c r="B32" s="11">
        <f t="shared" si="1"/>
        <v>62.059702154995932</v>
      </c>
      <c r="C32" s="11">
        <f t="shared" si="1"/>
        <v>51.059702154995932</v>
      </c>
      <c r="D32" s="11">
        <f t="shared" si="1"/>
        <v>22.940297845004071</v>
      </c>
      <c r="E32" s="11"/>
      <c r="F32" s="11"/>
      <c r="G32" s="11"/>
    </row>
    <row r="33" spans="1:7" x14ac:dyDescent="0.25">
      <c r="A33" s="12">
        <v>44984.3125</v>
      </c>
      <c r="B33" s="11">
        <v>67.706585839261123</v>
      </c>
      <c r="C33" s="11">
        <v>67.706585839261123</v>
      </c>
      <c r="D33" s="11">
        <v>67.706585839261123</v>
      </c>
      <c r="E33" s="11"/>
      <c r="F33" s="11"/>
      <c r="G33" s="11"/>
    </row>
    <row r="34" spans="1:7" x14ac:dyDescent="0.25">
      <c r="A34" s="12">
        <v>44984.354166666664</v>
      </c>
      <c r="B34" s="11">
        <v>57.373491996186978</v>
      </c>
      <c r="C34" s="11">
        <v>57.373491996186978</v>
      </c>
      <c r="D34" s="11">
        <v>57.373491996186978</v>
      </c>
      <c r="E34" s="11"/>
      <c r="F34" s="11"/>
      <c r="G34" s="11"/>
    </row>
    <row r="35" spans="1:7" x14ac:dyDescent="0.25">
      <c r="A35" s="12">
        <v>44984.395833333336</v>
      </c>
      <c r="B35" s="11">
        <v>44.671512116168167</v>
      </c>
      <c r="C35" s="11">
        <v>44.671512116168167</v>
      </c>
      <c r="D35" s="11">
        <v>44.671512116168167</v>
      </c>
      <c r="E35" s="11"/>
      <c r="F35" s="11"/>
      <c r="G35" s="11"/>
    </row>
    <row r="36" spans="1:7" x14ac:dyDescent="0.25">
      <c r="A36" s="12">
        <v>44984.4375</v>
      </c>
      <c r="B36" s="11">
        <v>30.081296636418408</v>
      </c>
      <c r="C36" s="11">
        <v>30.081296636418408</v>
      </c>
      <c r="D36" s="11">
        <v>30.081296636418408</v>
      </c>
      <c r="E36" s="11"/>
      <c r="F36" s="11"/>
      <c r="G36" s="11"/>
    </row>
    <row r="37" spans="1:7" x14ac:dyDescent="0.25">
      <c r="A37" s="12">
        <v>44984.479166666664</v>
      </c>
      <c r="B37" s="11">
        <v>12.849971114146015</v>
      </c>
      <c r="C37" s="11">
        <v>12.849971114146015</v>
      </c>
      <c r="D37" s="11">
        <v>12.849971114146015</v>
      </c>
      <c r="E37" s="11"/>
      <c r="F37" s="11"/>
      <c r="G37" s="11"/>
    </row>
    <row r="38" spans="1:7" x14ac:dyDescent="0.25">
      <c r="A38" s="12">
        <v>44984.520833333336</v>
      </c>
      <c r="B38" s="11">
        <v>10.695552074868523</v>
      </c>
      <c r="C38" s="11">
        <v>10.695552074868523</v>
      </c>
      <c r="D38" s="11">
        <v>10.695552074868523</v>
      </c>
      <c r="E38" s="11"/>
      <c r="F38" s="11"/>
      <c r="G38" s="11"/>
    </row>
    <row r="39" spans="1:7" x14ac:dyDescent="0.25">
      <c r="A39" s="12">
        <v>44984.5625</v>
      </c>
      <c r="B39" s="11">
        <v>28.905293901115051</v>
      </c>
      <c r="C39" s="11">
        <v>28.905293901115051</v>
      </c>
      <c r="D39" s="11">
        <v>28.905293901115051</v>
      </c>
      <c r="E39" s="11"/>
      <c r="F39" s="11"/>
      <c r="G39" s="11"/>
    </row>
    <row r="40" spans="1:7" x14ac:dyDescent="0.25">
      <c r="A40" s="12">
        <v>44984.604166666664</v>
      </c>
      <c r="B40" s="11">
        <v>49.933439912363504</v>
      </c>
      <c r="C40" s="11">
        <v>49.933439912363504</v>
      </c>
      <c r="D40" s="11">
        <v>49.933439912363504</v>
      </c>
      <c r="E40" s="11"/>
      <c r="F40" s="11"/>
      <c r="G40" s="11"/>
    </row>
    <row r="41" spans="1:7" x14ac:dyDescent="0.25">
      <c r="A41" s="12">
        <v>44984.645833333336</v>
      </c>
      <c r="B41" s="11">
        <v>68.46770076277852</v>
      </c>
      <c r="C41" s="11">
        <v>68.46770076277852</v>
      </c>
      <c r="D41" s="11">
        <v>68.46770076277852</v>
      </c>
      <c r="E41" s="11"/>
      <c r="F41" s="11"/>
      <c r="G41" s="11"/>
    </row>
    <row r="42" spans="1:7" x14ac:dyDescent="0.25">
      <c r="A42" s="12">
        <v>44984.6875</v>
      </c>
      <c r="B42" s="11">
        <v>84.149847148721733</v>
      </c>
      <c r="C42" s="11">
        <v>84.149847148721733</v>
      </c>
      <c r="D42" s="11">
        <v>84.149847148721733</v>
      </c>
      <c r="E42" s="11"/>
      <c r="F42" s="11"/>
      <c r="G42" s="11"/>
    </row>
    <row r="43" spans="1:7" x14ac:dyDescent="0.25">
      <c r="A43" s="12">
        <v>44984.729166666664</v>
      </c>
      <c r="B43" s="11">
        <v>97.593133150718288</v>
      </c>
      <c r="C43" s="11">
        <v>97.593133150718288</v>
      </c>
      <c r="D43" s="11">
        <v>97.593133150718288</v>
      </c>
      <c r="E43" s="11"/>
      <c r="F43" s="11"/>
      <c r="G43" s="11"/>
    </row>
    <row r="44" spans="1:7" x14ac:dyDescent="0.25">
      <c r="A44" s="12">
        <v>44984.770833333336</v>
      </c>
      <c r="B44" s="11">
        <v>87.960569115628033</v>
      </c>
      <c r="C44" s="11">
        <v>87.960569115628033</v>
      </c>
      <c r="D44" s="11">
        <v>87.960569115628033</v>
      </c>
      <c r="E44" s="11"/>
      <c r="F44" s="11"/>
      <c r="G44" s="11"/>
    </row>
    <row r="45" spans="1:7" x14ac:dyDescent="0.25">
      <c r="A45" s="12">
        <v>44984.8125</v>
      </c>
      <c r="B45" s="11">
        <f>90-5-DEGREES(ATAN(5.79/8/1.71))</f>
        <v>62.059702154995932</v>
      </c>
      <c r="C45" s="11">
        <f>90-16-DEGREES(ATAN(5.79/8/1.71))</f>
        <v>51.059702154995932</v>
      </c>
      <c r="D45" s="11">
        <f>90-90+DEGREES(ATAN(5.79/8/1.71))</f>
        <v>22.940297845004071</v>
      </c>
      <c r="E45" s="11"/>
      <c r="F45" s="11"/>
      <c r="G45" s="11"/>
    </row>
    <row r="46" spans="1:7" x14ac:dyDescent="0.25">
      <c r="A46" s="12">
        <v>44984.854166666664</v>
      </c>
      <c r="B46" s="11">
        <f t="shared" ref="B46:D56" si="2">B45</f>
        <v>62.059702154995932</v>
      </c>
      <c r="C46" s="11">
        <f t="shared" si="2"/>
        <v>51.059702154995932</v>
      </c>
      <c r="D46" s="11">
        <f t="shared" si="2"/>
        <v>22.940297845004071</v>
      </c>
      <c r="E46" s="11"/>
      <c r="F46" s="11"/>
      <c r="G46" s="11"/>
    </row>
    <row r="47" spans="1:7" x14ac:dyDescent="0.25">
      <c r="A47" s="12">
        <v>44984.895833333336</v>
      </c>
      <c r="B47" s="11">
        <f t="shared" si="2"/>
        <v>62.059702154995932</v>
      </c>
      <c r="C47" s="11">
        <f t="shared" si="2"/>
        <v>51.059702154995932</v>
      </c>
      <c r="D47" s="11">
        <f t="shared" si="2"/>
        <v>22.940297845004071</v>
      </c>
      <c r="E47" s="11"/>
      <c r="F47" s="11"/>
      <c r="G47" s="11"/>
    </row>
    <row r="48" spans="1:7" x14ac:dyDescent="0.25">
      <c r="A48" s="12">
        <v>44984.9375</v>
      </c>
      <c r="B48" s="11">
        <f t="shared" si="2"/>
        <v>62.059702154995932</v>
      </c>
      <c r="C48" s="11">
        <f t="shared" si="2"/>
        <v>51.059702154995932</v>
      </c>
      <c r="D48" s="11">
        <f t="shared" si="2"/>
        <v>22.940297845004071</v>
      </c>
      <c r="E48" s="11"/>
      <c r="F48" s="11"/>
      <c r="G48" s="11"/>
    </row>
    <row r="49" spans="1:7" x14ac:dyDescent="0.25">
      <c r="A49" s="12">
        <v>44984.979166666664</v>
      </c>
      <c r="B49" s="11">
        <f t="shared" si="2"/>
        <v>62.059702154995932</v>
      </c>
      <c r="C49" s="11">
        <f t="shared" si="2"/>
        <v>51.059702154995932</v>
      </c>
      <c r="D49" s="11">
        <f t="shared" si="2"/>
        <v>22.940297845004071</v>
      </c>
      <c r="E49" s="11"/>
      <c r="F49" s="11"/>
      <c r="G49" s="11"/>
    </row>
    <row r="50" spans="1:7" x14ac:dyDescent="0.25">
      <c r="A50" s="12">
        <v>44985.020833333336</v>
      </c>
      <c r="B50" s="11">
        <f t="shared" si="2"/>
        <v>62.059702154995932</v>
      </c>
      <c r="C50" s="11">
        <f t="shared" si="2"/>
        <v>51.059702154995932</v>
      </c>
      <c r="D50" s="11">
        <f t="shared" si="2"/>
        <v>22.940297845004071</v>
      </c>
      <c r="E50" s="11"/>
      <c r="F50" s="11"/>
      <c r="G50" s="11"/>
    </row>
    <row r="51" spans="1:7" x14ac:dyDescent="0.25">
      <c r="A51" s="12">
        <v>44985.0625</v>
      </c>
      <c r="B51" s="11">
        <f t="shared" si="2"/>
        <v>62.059702154995932</v>
      </c>
      <c r="C51" s="11">
        <f t="shared" si="2"/>
        <v>51.059702154995932</v>
      </c>
      <c r="D51" s="11">
        <f t="shared" si="2"/>
        <v>22.940297845004071</v>
      </c>
      <c r="E51" s="11"/>
      <c r="F51" s="11"/>
      <c r="G51" s="11"/>
    </row>
    <row r="52" spans="1:7" x14ac:dyDescent="0.25">
      <c r="A52" s="12">
        <v>44985.104166666664</v>
      </c>
      <c r="B52" s="11">
        <f t="shared" si="2"/>
        <v>62.059702154995932</v>
      </c>
      <c r="C52" s="11">
        <f t="shared" si="2"/>
        <v>51.059702154995932</v>
      </c>
      <c r="D52" s="11">
        <f t="shared" si="2"/>
        <v>22.940297845004071</v>
      </c>
      <c r="E52" s="11"/>
      <c r="F52" s="11"/>
      <c r="G52" s="11"/>
    </row>
    <row r="53" spans="1:7" x14ac:dyDescent="0.25">
      <c r="A53" s="12">
        <v>44985.145833333336</v>
      </c>
      <c r="B53" s="11">
        <f t="shared" si="2"/>
        <v>62.059702154995932</v>
      </c>
      <c r="C53" s="11">
        <f t="shared" si="2"/>
        <v>51.059702154995932</v>
      </c>
      <c r="D53" s="11">
        <f t="shared" si="2"/>
        <v>22.940297845004071</v>
      </c>
      <c r="E53" s="11"/>
      <c r="F53" s="11"/>
      <c r="G53" s="11"/>
    </row>
    <row r="54" spans="1:7" x14ac:dyDescent="0.25">
      <c r="A54" s="12">
        <v>44985.1875</v>
      </c>
      <c r="B54" s="11">
        <f t="shared" si="2"/>
        <v>62.059702154995932</v>
      </c>
      <c r="C54" s="11">
        <f t="shared" si="2"/>
        <v>51.059702154995932</v>
      </c>
      <c r="D54" s="11">
        <f t="shared" si="2"/>
        <v>22.940297845004071</v>
      </c>
      <c r="E54" s="11"/>
      <c r="F54" s="11"/>
      <c r="G54" s="11"/>
    </row>
    <row r="55" spans="1:7" x14ac:dyDescent="0.25">
      <c r="A55" s="12">
        <v>44985.229166666664</v>
      </c>
      <c r="B55" s="11">
        <f t="shared" si="2"/>
        <v>62.059702154995932</v>
      </c>
      <c r="C55" s="11">
        <f t="shared" si="2"/>
        <v>51.059702154995932</v>
      </c>
      <c r="D55" s="11">
        <f t="shared" si="2"/>
        <v>22.940297845004071</v>
      </c>
      <c r="E55" s="11"/>
      <c r="F55" s="11"/>
      <c r="G55" s="11"/>
    </row>
    <row r="56" spans="1:7" x14ac:dyDescent="0.25">
      <c r="A56" s="12">
        <v>44985.270833333336</v>
      </c>
      <c r="B56" s="11">
        <f t="shared" si="2"/>
        <v>62.059702154995932</v>
      </c>
      <c r="C56" s="11">
        <f t="shared" si="2"/>
        <v>51.059702154995932</v>
      </c>
      <c r="D56" s="11">
        <f t="shared" si="2"/>
        <v>22.940297845004071</v>
      </c>
      <c r="E56" s="11"/>
      <c r="F56" s="11"/>
      <c r="G56" s="11"/>
    </row>
    <row r="57" spans="1:7" x14ac:dyDescent="0.25">
      <c r="A57" s="12">
        <v>44985.3125</v>
      </c>
      <c r="B57" s="11">
        <v>67.568019455083032</v>
      </c>
      <c r="C57" s="11">
        <v>67.568019455083032</v>
      </c>
      <c r="D57" s="11">
        <v>67.568019455083032</v>
      </c>
      <c r="E57" s="11"/>
      <c r="F57" s="11"/>
      <c r="G57" s="11"/>
    </row>
    <row r="58" spans="1:7" x14ac:dyDescent="0.25">
      <c r="A58" s="12">
        <v>44985.354166666664</v>
      </c>
      <c r="B58" s="11">
        <v>57.088521849779177</v>
      </c>
      <c r="C58" s="11">
        <v>57.088521849779177</v>
      </c>
      <c r="D58" s="11">
        <v>57.088521849779177</v>
      </c>
      <c r="E58" s="11"/>
      <c r="F58" s="11"/>
      <c r="G58" s="11"/>
    </row>
    <row r="59" spans="1:7" x14ac:dyDescent="0.25">
      <c r="A59" s="12">
        <v>44985.395833333336</v>
      </c>
      <c r="B59" s="11">
        <v>44.377706347255618</v>
      </c>
      <c r="C59" s="11">
        <v>44.377706347255618</v>
      </c>
      <c r="D59" s="11">
        <v>44.377706347255618</v>
      </c>
      <c r="E59" s="11"/>
      <c r="F59" s="11"/>
      <c r="G59" s="11"/>
    </row>
    <row r="60" spans="1:7" x14ac:dyDescent="0.25">
      <c r="A60" s="12">
        <v>44985.4375</v>
      </c>
      <c r="B60" s="11">
        <v>29.795695587260688</v>
      </c>
      <c r="C60" s="11">
        <v>29.795695587260688</v>
      </c>
      <c r="D60" s="11">
        <v>29.795695587260688</v>
      </c>
      <c r="E60" s="11"/>
      <c r="F60" s="11"/>
      <c r="G60" s="11"/>
    </row>
    <row r="61" spans="1:7" x14ac:dyDescent="0.25">
      <c r="A61" s="12">
        <v>44985.479166666664</v>
      </c>
      <c r="B61" s="11">
        <v>12.604115755652188</v>
      </c>
      <c r="C61" s="11">
        <v>12.604115755652188</v>
      </c>
      <c r="D61" s="11">
        <v>12.604115755652188</v>
      </c>
      <c r="E61" s="11"/>
      <c r="F61" s="11"/>
      <c r="G61" s="11"/>
    </row>
    <row r="62" spans="1:7" x14ac:dyDescent="0.25">
      <c r="A62" s="12">
        <v>44985.520833333336</v>
      </c>
      <c r="B62" s="11">
        <v>10.637329809737174</v>
      </c>
      <c r="C62" s="11">
        <v>10.637329809737174</v>
      </c>
      <c r="D62" s="11">
        <v>10.637329809737174</v>
      </c>
      <c r="E62" s="11"/>
      <c r="F62" s="11"/>
      <c r="G62" s="11"/>
    </row>
    <row r="63" spans="1:7" x14ac:dyDescent="0.25">
      <c r="A63" s="12">
        <v>44985.5625</v>
      </c>
      <c r="B63" s="11">
        <v>28.935111912562355</v>
      </c>
      <c r="C63" s="11">
        <v>28.935111912562355</v>
      </c>
      <c r="D63" s="11">
        <v>28.935111912562355</v>
      </c>
      <c r="E63" s="11"/>
      <c r="F63" s="11"/>
      <c r="G63" s="11"/>
    </row>
    <row r="64" spans="1:7" x14ac:dyDescent="0.25">
      <c r="A64" s="12">
        <v>44985.604166666664</v>
      </c>
      <c r="B64" s="11">
        <v>49.842517160887127</v>
      </c>
      <c r="C64" s="11">
        <v>49.842517160887127</v>
      </c>
      <c r="D64" s="11">
        <v>49.842517160887127</v>
      </c>
      <c r="E64" s="11"/>
      <c r="F64" s="11"/>
      <c r="G64" s="11"/>
    </row>
    <row r="65" spans="1:7" x14ac:dyDescent="0.25">
      <c r="A65" s="12">
        <v>44985.645833333336</v>
      </c>
      <c r="B65" s="11">
        <v>68.298683596433932</v>
      </c>
      <c r="C65" s="11">
        <v>68.298683596433932</v>
      </c>
      <c r="D65" s="11">
        <v>68.298683596433932</v>
      </c>
      <c r="E65" s="11"/>
      <c r="F65" s="11"/>
      <c r="G65" s="11"/>
    </row>
    <row r="66" spans="1:7" x14ac:dyDescent="0.25">
      <c r="A66" s="12">
        <v>44985.6875</v>
      </c>
      <c r="B66" s="11">
        <v>83.945041683367407</v>
      </c>
      <c r="C66" s="11">
        <v>83.945041683367407</v>
      </c>
      <c r="D66" s="11">
        <v>83.945041683367407</v>
      </c>
      <c r="E66" s="11"/>
      <c r="F66" s="11"/>
      <c r="G66" s="11"/>
    </row>
    <row r="67" spans="1:7" x14ac:dyDescent="0.25">
      <c r="A67" s="12">
        <v>44985.729166666664</v>
      </c>
      <c r="B67" s="11">
        <v>97.378485854706838</v>
      </c>
      <c r="C67" s="11">
        <v>97.378485854706838</v>
      </c>
      <c r="D67" s="11">
        <v>97.378485854706838</v>
      </c>
      <c r="E67" s="11"/>
      <c r="F67" s="11"/>
      <c r="G67" s="11"/>
    </row>
    <row r="68" spans="1:7" x14ac:dyDescent="0.25">
      <c r="A68" s="12">
        <v>44985.770833333336</v>
      </c>
      <c r="B68" s="11">
        <v>87.853016830662398</v>
      </c>
      <c r="C68" s="11">
        <v>87.853016830662398</v>
      </c>
      <c r="D68" s="11">
        <v>87.853016830662398</v>
      </c>
      <c r="E68" s="11"/>
      <c r="F68" s="11"/>
      <c r="G68" s="11"/>
    </row>
    <row r="69" spans="1:7" x14ac:dyDescent="0.25">
      <c r="A69" s="12">
        <v>44985.8125</v>
      </c>
      <c r="B69" s="11">
        <f>90-5-DEGREES(ATAN(5.79/8/1.71))</f>
        <v>62.059702154995932</v>
      </c>
      <c r="C69" s="11">
        <f>90-16-DEGREES(ATAN(5.79/8/1.71))</f>
        <v>51.059702154995932</v>
      </c>
      <c r="D69" s="11">
        <f>90-90+DEGREES(ATAN(5.79/8/1.71))</f>
        <v>22.940297845004071</v>
      </c>
      <c r="E69" s="11"/>
      <c r="F69" s="11"/>
      <c r="G69" s="11"/>
    </row>
    <row r="70" spans="1:7" x14ac:dyDescent="0.25">
      <c r="A70" s="12">
        <v>44985.854166666664</v>
      </c>
      <c r="B70" s="11">
        <f t="shared" ref="B70:D73" si="3">B69</f>
        <v>62.059702154995932</v>
      </c>
      <c r="C70" s="11">
        <f t="shared" si="3"/>
        <v>51.059702154995932</v>
      </c>
      <c r="D70" s="11">
        <f t="shared" si="3"/>
        <v>22.940297845004071</v>
      </c>
      <c r="E70" s="11"/>
      <c r="F70" s="11"/>
      <c r="G70" s="11"/>
    </row>
    <row r="71" spans="1:7" x14ac:dyDescent="0.25">
      <c r="A71" s="12">
        <v>44985.895833333336</v>
      </c>
      <c r="B71" s="11">
        <f t="shared" si="3"/>
        <v>62.059702154995932</v>
      </c>
      <c r="C71" s="11">
        <f t="shared" si="3"/>
        <v>51.059702154995932</v>
      </c>
      <c r="D71" s="11">
        <f t="shared" si="3"/>
        <v>22.940297845004071</v>
      </c>
      <c r="E71" s="11"/>
      <c r="F71" s="11"/>
      <c r="G71" s="11"/>
    </row>
    <row r="72" spans="1:7" x14ac:dyDescent="0.25">
      <c r="A72" s="12">
        <v>44985.9375</v>
      </c>
      <c r="B72" s="11">
        <f t="shared" si="3"/>
        <v>62.059702154995932</v>
      </c>
      <c r="C72" s="11">
        <f t="shared" si="3"/>
        <v>51.059702154995932</v>
      </c>
      <c r="D72" s="11">
        <f t="shared" si="3"/>
        <v>22.940297845004071</v>
      </c>
      <c r="E72" s="11"/>
      <c r="F72" s="11"/>
      <c r="G72" s="11"/>
    </row>
    <row r="73" spans="1:7" x14ac:dyDescent="0.25">
      <c r="A73" s="12">
        <v>44985.979166666664</v>
      </c>
      <c r="B73" s="11">
        <f t="shared" si="3"/>
        <v>62.059702154995932</v>
      </c>
      <c r="C73" s="11">
        <f t="shared" si="3"/>
        <v>51.059702154995932</v>
      </c>
      <c r="D73" s="11">
        <f t="shared" si="3"/>
        <v>22.940297845004071</v>
      </c>
      <c r="E73" s="11"/>
      <c r="F73" s="11"/>
      <c r="G73" s="11"/>
    </row>
    <row r="74" spans="1:7" x14ac:dyDescent="0.25">
      <c r="A74" s="3"/>
      <c r="B74" s="11"/>
      <c r="C74" s="11"/>
      <c r="D74" s="11"/>
      <c r="E74" s="11"/>
      <c r="F74" s="11"/>
      <c r="G74" s="11"/>
    </row>
    <row r="75" spans="1:7" x14ac:dyDescent="0.25">
      <c r="A75" s="3"/>
      <c r="B75" s="11"/>
      <c r="C75" s="11"/>
      <c r="D75" s="11"/>
      <c r="E75" s="11"/>
      <c r="F75" s="11"/>
      <c r="G75" s="11"/>
    </row>
    <row r="76" spans="1:7" x14ac:dyDescent="0.25">
      <c r="A76" s="3"/>
      <c r="B76" s="11"/>
      <c r="C76" s="11"/>
      <c r="D76" s="11"/>
      <c r="E76" s="11"/>
      <c r="F76" s="11"/>
      <c r="G76" s="11"/>
    </row>
    <row r="77" spans="1:7" x14ac:dyDescent="0.25">
      <c r="A77" s="3"/>
      <c r="B77" s="11"/>
      <c r="C77" s="11"/>
      <c r="D77" s="11"/>
      <c r="E77" s="11"/>
      <c r="F77" s="11"/>
      <c r="G77" s="11"/>
    </row>
    <row r="78" spans="1:7" x14ac:dyDescent="0.25">
      <c r="A78" s="3"/>
      <c r="B78" s="11"/>
      <c r="C78" s="11"/>
      <c r="D78" s="11"/>
      <c r="E78" s="11"/>
      <c r="F78" s="11"/>
      <c r="G78" s="11"/>
    </row>
    <row r="79" spans="1:7" x14ac:dyDescent="0.25">
      <c r="A79" s="3"/>
      <c r="B79" s="11"/>
      <c r="C79" s="11"/>
      <c r="D79" s="11"/>
      <c r="E79" s="11"/>
      <c r="F79" s="11"/>
      <c r="G79" s="11"/>
    </row>
    <row r="80" spans="1:7" x14ac:dyDescent="0.25">
      <c r="A80" s="3"/>
      <c r="B80" s="11"/>
      <c r="C80" s="11"/>
      <c r="D80" s="11"/>
      <c r="E80" s="11"/>
      <c r="F80" s="11"/>
      <c r="G80" s="11"/>
    </row>
    <row r="81" spans="1:7" x14ac:dyDescent="0.25">
      <c r="A81" s="3"/>
      <c r="B81" s="11"/>
      <c r="C81" s="11"/>
      <c r="D81" s="11"/>
      <c r="E81" s="11"/>
      <c r="F81" s="11"/>
      <c r="G81" s="11"/>
    </row>
    <row r="82" spans="1:7" x14ac:dyDescent="0.25">
      <c r="A82" s="3"/>
      <c r="B82" s="11"/>
      <c r="C82" s="11"/>
      <c r="D82" s="11"/>
      <c r="E82" s="11"/>
      <c r="F82" s="11"/>
      <c r="G82" s="11"/>
    </row>
    <row r="83" spans="1:7" x14ac:dyDescent="0.25">
      <c r="A83" s="3"/>
      <c r="B83" s="11"/>
      <c r="C83" s="11"/>
      <c r="D83" s="11"/>
      <c r="E83" s="11"/>
      <c r="F83" s="11"/>
      <c r="G83" s="11"/>
    </row>
    <row r="84" spans="1:7" x14ac:dyDescent="0.25">
      <c r="A84" s="3"/>
      <c r="B84" s="11"/>
      <c r="C84" s="11"/>
      <c r="D84" s="11"/>
      <c r="E84" s="11"/>
      <c r="F84" s="11"/>
      <c r="G84" s="11"/>
    </row>
    <row r="85" spans="1:7" x14ac:dyDescent="0.25">
      <c r="A85" s="3"/>
      <c r="B85" s="11"/>
      <c r="C85" s="11"/>
      <c r="D85" s="11"/>
      <c r="E85" s="11"/>
      <c r="F85" s="11"/>
      <c r="G85" s="11"/>
    </row>
    <row r="86" spans="1:7" x14ac:dyDescent="0.25">
      <c r="A86" s="3"/>
      <c r="B86" s="11"/>
      <c r="C86" s="11"/>
      <c r="D86" s="11"/>
      <c r="E86" s="11"/>
      <c r="F86" s="11"/>
      <c r="G86" s="11"/>
    </row>
    <row r="87" spans="1:7" x14ac:dyDescent="0.25">
      <c r="A87" s="3"/>
      <c r="B87" s="11"/>
      <c r="C87" s="11"/>
      <c r="D87" s="11"/>
      <c r="E87" s="11"/>
      <c r="F87" s="11"/>
      <c r="G87" s="11"/>
    </row>
    <row r="88" spans="1:7" x14ac:dyDescent="0.25">
      <c r="A88" s="3"/>
      <c r="B88" s="11"/>
      <c r="C88" s="11"/>
      <c r="D88" s="11"/>
      <c r="E88" s="11"/>
      <c r="F88" s="11"/>
      <c r="G88" s="11"/>
    </row>
    <row r="89" spans="1:7" x14ac:dyDescent="0.25">
      <c r="A89" s="3"/>
      <c r="B89" s="11"/>
      <c r="C89" s="11"/>
      <c r="D89" s="11"/>
      <c r="E89" s="11"/>
      <c r="F89" s="11"/>
      <c r="G89" s="11"/>
    </row>
    <row r="90" spans="1:7" x14ac:dyDescent="0.25">
      <c r="A90" s="3"/>
      <c r="B90" s="11"/>
      <c r="C90" s="11"/>
      <c r="D90" s="11"/>
      <c r="E90" s="11"/>
      <c r="F90" s="11"/>
      <c r="G90" s="11"/>
    </row>
    <row r="91" spans="1:7" x14ac:dyDescent="0.25">
      <c r="A91" s="3"/>
      <c r="B91" s="11"/>
      <c r="C91" s="11"/>
      <c r="D91" s="11"/>
      <c r="E91" s="11"/>
      <c r="F91" s="11"/>
      <c r="G91" s="11"/>
    </row>
    <row r="92" spans="1:7" x14ac:dyDescent="0.25">
      <c r="A92" s="3"/>
      <c r="B92" s="11"/>
      <c r="C92" s="11"/>
      <c r="D92" s="11"/>
      <c r="E92" s="11"/>
      <c r="F92" s="11"/>
      <c r="G92" s="11"/>
    </row>
    <row r="93" spans="1:7" x14ac:dyDescent="0.25">
      <c r="A93" s="3"/>
      <c r="B93" s="11"/>
      <c r="C93" s="11"/>
      <c r="D93" s="11"/>
      <c r="E93" s="11"/>
      <c r="F93" s="11"/>
      <c r="G93" s="11"/>
    </row>
    <row r="94" spans="1:7" x14ac:dyDescent="0.25">
      <c r="A94" s="3"/>
      <c r="B94" s="11"/>
      <c r="C94" s="11"/>
      <c r="D94" s="11"/>
      <c r="E94" s="11"/>
      <c r="F94" s="11"/>
      <c r="G94" s="11"/>
    </row>
    <row r="95" spans="1:7" x14ac:dyDescent="0.25">
      <c r="A95" s="3"/>
      <c r="B95" s="11"/>
      <c r="C95" s="11"/>
      <c r="D95" s="11"/>
      <c r="E95" s="11"/>
      <c r="F95" s="11"/>
      <c r="G95" s="11"/>
    </row>
    <row r="96" spans="1:7" x14ac:dyDescent="0.25">
      <c r="A96" s="3"/>
      <c r="B96" s="11"/>
      <c r="C96" s="11"/>
      <c r="D96" s="11"/>
      <c r="E96" s="11"/>
      <c r="F96" s="11"/>
      <c r="G96" s="11"/>
    </row>
    <row r="97" spans="1:7" x14ac:dyDescent="0.25">
      <c r="A97" s="3"/>
      <c r="B97" s="11"/>
      <c r="C97" s="11"/>
      <c r="D97" s="11"/>
      <c r="E97" s="11"/>
      <c r="F97" s="11"/>
      <c r="G97" s="11"/>
    </row>
    <row r="98" spans="1:7" x14ac:dyDescent="0.25">
      <c r="A98" s="3"/>
      <c r="B98" s="11"/>
      <c r="C98" s="11"/>
      <c r="D98" s="11"/>
      <c r="E98" s="11"/>
      <c r="F98" s="11"/>
      <c r="G98" s="11"/>
    </row>
    <row r="99" spans="1:7" x14ac:dyDescent="0.25">
      <c r="A99" s="3"/>
      <c r="B99" s="11"/>
      <c r="C99" s="11"/>
      <c r="D99" s="11"/>
      <c r="E99" s="11"/>
      <c r="F99" s="11"/>
      <c r="G99" s="11"/>
    </row>
    <row r="100" spans="1:7" x14ac:dyDescent="0.25">
      <c r="A100" s="3"/>
      <c r="B100" s="11"/>
      <c r="C100" s="11"/>
      <c r="D100" s="11"/>
      <c r="E100" s="11"/>
      <c r="F100" s="11"/>
      <c r="G100" s="11"/>
    </row>
    <row r="101" spans="1:7" x14ac:dyDescent="0.25">
      <c r="A101" s="3"/>
      <c r="B101" s="11"/>
      <c r="C101" s="11"/>
      <c r="D101" s="11"/>
      <c r="E101" s="11"/>
      <c r="F101" s="11"/>
      <c r="G101" s="11"/>
    </row>
    <row r="102" spans="1:7" x14ac:dyDescent="0.25">
      <c r="A102" s="3"/>
      <c r="B102" s="11"/>
      <c r="C102" s="11"/>
      <c r="D102" s="11"/>
      <c r="E102" s="11"/>
      <c r="F102" s="11"/>
      <c r="G102" s="11"/>
    </row>
    <row r="103" spans="1:7" x14ac:dyDescent="0.25">
      <c r="A103" s="3"/>
      <c r="B103" s="11"/>
      <c r="C103" s="11"/>
      <c r="D103" s="11"/>
      <c r="E103" s="11"/>
      <c r="F103" s="11"/>
      <c r="G10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D8" sqref="D8"/>
    </sheetView>
  </sheetViews>
  <sheetFormatPr defaultRowHeight="15" x14ac:dyDescent="0.25"/>
  <cols>
    <col min="1" max="1" width="15.28515625" customWidth="1"/>
    <col min="2" max="6" width="13.5703125" customWidth="1"/>
  </cols>
  <sheetData>
    <row r="1" spans="1:7" x14ac:dyDescent="0.25">
      <c r="A1" s="4" t="s">
        <v>0</v>
      </c>
      <c r="B1" s="2" t="s">
        <v>3</v>
      </c>
      <c r="C1" s="2" t="s">
        <v>4</v>
      </c>
      <c r="D1" s="7" t="s">
        <v>5</v>
      </c>
      <c r="E1" s="2"/>
      <c r="F1" s="2"/>
      <c r="G1" s="2"/>
    </row>
    <row r="2" spans="1:7" x14ac:dyDescent="0.25">
      <c r="A2" s="12">
        <v>44983.708333333336</v>
      </c>
      <c r="B2" s="13">
        <v>0.93825000000000003</v>
      </c>
      <c r="C2" s="13">
        <v>0.94149999999999989</v>
      </c>
      <c r="D2" s="13">
        <v>0.93799999999999994</v>
      </c>
      <c r="E2" s="13"/>
      <c r="F2" s="13"/>
      <c r="G2" s="13"/>
    </row>
    <row r="3" spans="1:7" x14ac:dyDescent="0.25">
      <c r="A3" s="12">
        <v>44984.708333333336</v>
      </c>
      <c r="B3" s="13">
        <v>0.92575000000000007</v>
      </c>
      <c r="C3" s="13">
        <v>0.93025000000000002</v>
      </c>
      <c r="D3" s="13">
        <v>0.91333333333333344</v>
      </c>
      <c r="E3" s="13"/>
      <c r="F3" s="13"/>
      <c r="G3" s="13"/>
    </row>
    <row r="4" spans="1:7" x14ac:dyDescent="0.25">
      <c r="A4" s="12">
        <v>44985.708333333336</v>
      </c>
      <c r="B4" s="13">
        <v>0.91850000000000009</v>
      </c>
      <c r="C4" s="13">
        <v>0.92125000000000001</v>
      </c>
      <c r="D4" s="13">
        <v>0.92025000000000012</v>
      </c>
      <c r="E4" s="13"/>
      <c r="F4" s="13"/>
      <c r="G4" s="13"/>
    </row>
    <row r="5" spans="1:7" x14ac:dyDescent="0.25">
      <c r="A5" s="5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D22" sqref="D22"/>
    </sheetView>
  </sheetViews>
  <sheetFormatPr defaultRowHeight="15" x14ac:dyDescent="0.25"/>
  <cols>
    <col min="1" max="1" width="15.28515625" customWidth="1"/>
    <col min="2" max="6" width="18.85546875" customWidth="1"/>
  </cols>
  <sheetData>
    <row r="1" spans="1:7" x14ac:dyDescent="0.25">
      <c r="A1" s="4" t="s">
        <v>0</v>
      </c>
      <c r="B1" s="2" t="s">
        <v>3</v>
      </c>
      <c r="C1" s="2" t="s">
        <v>4</v>
      </c>
      <c r="D1" s="7" t="s">
        <v>5</v>
      </c>
      <c r="E1" s="2"/>
      <c r="F1" s="2"/>
      <c r="G1" s="2"/>
    </row>
    <row r="2" spans="1:7" x14ac:dyDescent="0.25">
      <c r="A2" s="12">
        <v>44983.708333333336</v>
      </c>
      <c r="B2" s="13">
        <v>2.7537852736429927E-3</v>
      </c>
      <c r="C2" s="13">
        <v>3.7859388972001857E-3</v>
      </c>
      <c r="D2" s="13">
        <v>4.1633319989322157E-3</v>
      </c>
      <c r="E2" s="13"/>
      <c r="F2" s="13"/>
      <c r="G2" s="13"/>
    </row>
    <row r="3" spans="1:7" x14ac:dyDescent="0.25">
      <c r="A3" s="12">
        <v>44984.708333333336</v>
      </c>
      <c r="B3" s="13">
        <v>2.0548722588034536E-2</v>
      </c>
      <c r="C3" s="13">
        <v>1.8997806890972066E-2</v>
      </c>
      <c r="D3" s="13">
        <v>3.2331615074619069E-2</v>
      </c>
      <c r="E3" s="13"/>
      <c r="F3" s="13"/>
      <c r="G3" s="13"/>
    </row>
    <row r="4" spans="1:7" x14ac:dyDescent="0.25">
      <c r="A4" s="12">
        <v>44985.708333333336</v>
      </c>
      <c r="B4" s="13">
        <v>2.2590558499809919E-2</v>
      </c>
      <c r="C4" s="13">
        <v>2.6004807247891684E-2</v>
      </c>
      <c r="D4" s="13">
        <v>2.2186707732333812E-2</v>
      </c>
      <c r="E4" s="13"/>
      <c r="F4" s="13"/>
      <c r="G4" s="13"/>
    </row>
    <row r="5" spans="1:7" x14ac:dyDescent="0.25">
      <c r="A5" s="6"/>
    </row>
    <row r="6" spans="1:7" x14ac:dyDescent="0.25">
      <c r="A6" s="6"/>
    </row>
    <row r="7" spans="1:7" x14ac:dyDescent="0.25">
      <c r="A7" s="6"/>
    </row>
    <row r="8" spans="1:7" x14ac:dyDescent="0.25">
      <c r="A8" s="6"/>
    </row>
    <row r="9" spans="1:7" x14ac:dyDescent="0.25">
      <c r="A9" s="6"/>
    </row>
    <row r="10" spans="1:7" x14ac:dyDescent="0.25">
      <c r="A10" s="6"/>
    </row>
    <row r="11" spans="1:7" x14ac:dyDescent="0.25">
      <c r="A11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A1F9-72C4-4C54-B47C-F3731F6C7794}">
  <dimension ref="A1:B9"/>
  <sheetViews>
    <sheetView workbookViewId="0">
      <selection activeCell="F18" sqref="F18"/>
    </sheetView>
  </sheetViews>
  <sheetFormatPr defaultRowHeight="15" x14ac:dyDescent="0.25"/>
  <cols>
    <col min="1" max="16384" width="9.140625" style="8"/>
  </cols>
  <sheetData>
    <row r="1" spans="1:2" x14ac:dyDescent="0.25">
      <c r="A1" s="16" t="s">
        <v>3</v>
      </c>
      <c r="B1" s="8" t="s">
        <v>42</v>
      </c>
    </row>
    <row r="2" spans="1:2" x14ac:dyDescent="0.25">
      <c r="A2" s="16" t="s">
        <v>4</v>
      </c>
      <c r="B2" s="8" t="s">
        <v>43</v>
      </c>
    </row>
    <row r="3" spans="1:2" x14ac:dyDescent="0.25">
      <c r="A3" s="17" t="s">
        <v>5</v>
      </c>
      <c r="B3" s="8" t="s">
        <v>44</v>
      </c>
    </row>
    <row r="4" spans="1:2" x14ac:dyDescent="0.25">
      <c r="A4" s="16"/>
    </row>
    <row r="5" spans="1:2" x14ac:dyDescent="0.25">
      <c r="A5" s="17"/>
    </row>
    <row r="6" spans="1:2" x14ac:dyDescent="0.25">
      <c r="A6" s="16"/>
    </row>
    <row r="8" spans="1:2" x14ac:dyDescent="0.25">
      <c r="A8" s="16" t="s">
        <v>45</v>
      </c>
    </row>
    <row r="9" spans="1:2" x14ac:dyDescent="0.25">
      <c r="A9" s="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Dust</vt:lpstr>
      <vt:lpstr>Source_Intensity</vt:lpstr>
      <vt:lpstr>Weather</vt:lpstr>
      <vt:lpstr>Tilts</vt:lpstr>
      <vt:lpstr>Reflectance_Average</vt:lpstr>
      <vt:lpstr>Reflectance_Sigma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2024-08-12T16:43:41Z</dcterms:modified>
</cp:coreProperties>
</file>